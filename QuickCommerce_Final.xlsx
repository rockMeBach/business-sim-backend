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seem\EMBA\Quarter 7\Simulation\aseem\"/>
    </mc:Choice>
  </mc:AlternateContent>
  <xr:revisionPtr revIDLastSave="0" documentId="13_ncr:1_{1E4AC076-F455-4460-8965-33ECC54FEA8E}" xr6:coauthVersionLast="47" xr6:coauthVersionMax="47" xr10:uidLastSave="{00000000-0000-0000-0000-000000000000}"/>
  <bookViews>
    <workbookView xWindow="-120" yWindow="-120" windowWidth="29040" windowHeight="15720" tabRatio="953" activeTab="1" xr2:uid="{00000000-000D-0000-FFFF-FFFF00000000}"/>
  </bookViews>
  <sheets>
    <sheet name="Round1" sheetId="17" r:id="rId1"/>
    <sheet name="Supplier" sheetId="24" r:id="rId2"/>
    <sheet name="Setup" sheetId="19" r:id="rId3"/>
    <sheet name="Inputs" sheetId="20" r:id="rId4"/>
    <sheet name="P&amp;L" sheetId="21" r:id="rId5"/>
    <sheet name="Balance Sheet" sheetId="22" r:id="rId6"/>
    <sheet name="CashFlow" sheetId="23" r:id="rId7"/>
  </sheets>
  <calcPr calcId="191029"/>
</workbook>
</file>

<file path=xl/calcChain.xml><?xml version="1.0" encoding="utf-8"?>
<calcChain xmlns="http://schemas.openxmlformats.org/spreadsheetml/2006/main">
  <c r="R22" i="24" l="1"/>
  <c r="Q22" i="24"/>
  <c r="R21" i="24"/>
  <c r="Q21" i="24"/>
  <c r="R18" i="24"/>
  <c r="Q18" i="24"/>
  <c r="R17" i="24"/>
  <c r="Q17" i="24"/>
  <c r="T10" i="24"/>
  <c r="O10" i="24"/>
  <c r="Q10" i="24" s="1"/>
  <c r="T9" i="24"/>
  <c r="O9" i="24"/>
  <c r="Q9" i="24" s="1"/>
  <c r="T8" i="24"/>
  <c r="R8" i="24"/>
  <c r="R9" i="24"/>
  <c r="R10" i="24"/>
  <c r="R7" i="24"/>
  <c r="Q5" i="24"/>
  <c r="Q6" i="24"/>
  <c r="Q7" i="24"/>
  <c r="Q8" i="24"/>
  <c r="Q4" i="24"/>
  <c r="P7" i="24"/>
  <c r="R3" i="24"/>
  <c r="L9" i="24"/>
  <c r="K9" i="24"/>
  <c r="J9" i="24"/>
  <c r="I9" i="24"/>
  <c r="I5" i="24"/>
  <c r="H5" i="24"/>
  <c r="G5" i="24"/>
  <c r="F5" i="24"/>
  <c r="E23" i="23"/>
  <c r="D23" i="23"/>
  <c r="C23" i="23"/>
  <c r="E18" i="23"/>
  <c r="D18" i="23"/>
  <c r="C18" i="23"/>
  <c r="B2" i="23"/>
  <c r="E31" i="22"/>
  <c r="D31" i="22"/>
  <c r="C31" i="22"/>
  <c r="B31" i="22"/>
  <c r="B33" i="22" s="1"/>
  <c r="E27" i="22"/>
  <c r="D27" i="22"/>
  <c r="C27" i="22"/>
  <c r="B27" i="22"/>
  <c r="E24" i="22"/>
  <c r="E28" i="22" s="1"/>
  <c r="D24" i="22"/>
  <c r="D28" i="22" s="1"/>
  <c r="C24" i="22"/>
  <c r="C28" i="22" s="1"/>
  <c r="B24" i="22"/>
  <c r="B28" i="22" s="1"/>
  <c r="B34" i="22" s="1"/>
  <c r="E17" i="22"/>
  <c r="D17" i="22"/>
  <c r="C17" i="22"/>
  <c r="B17" i="22"/>
  <c r="B2" i="22"/>
  <c r="E29" i="21"/>
  <c r="D29" i="21"/>
  <c r="C29" i="21"/>
  <c r="E23" i="21"/>
  <c r="D23" i="21"/>
  <c r="C23" i="21"/>
  <c r="E22" i="21"/>
  <c r="D22" i="21"/>
  <c r="C22" i="21"/>
  <c r="E21" i="21"/>
  <c r="D21" i="21"/>
  <c r="C21" i="21"/>
  <c r="E20" i="21"/>
  <c r="E25" i="21" s="1"/>
  <c r="D20" i="21"/>
  <c r="D25" i="21" s="1"/>
  <c r="C20" i="21"/>
  <c r="C25" i="21" s="1"/>
  <c r="D11" i="21"/>
  <c r="E10" i="21"/>
  <c r="D10" i="21"/>
  <c r="C10" i="21"/>
  <c r="E9" i="21"/>
  <c r="D9" i="21"/>
  <c r="C9" i="21"/>
  <c r="E8" i="21"/>
  <c r="E11" i="21" s="1"/>
  <c r="D8" i="21"/>
  <c r="C8" i="21"/>
  <c r="E7" i="21"/>
  <c r="D7" i="21"/>
  <c r="C7" i="21"/>
  <c r="C11" i="21" s="1"/>
  <c r="B2" i="21"/>
  <c r="B11" i="19"/>
  <c r="C27" i="23" s="1"/>
  <c r="O17" i="17"/>
  <c r="T9" i="17"/>
  <c r="AA179" i="17" s="1"/>
  <c r="P9" i="17"/>
  <c r="W179" i="17" s="1"/>
  <c r="T12" i="17"/>
  <c r="T11" i="17"/>
  <c r="S12" i="17"/>
  <c r="S11" i="17"/>
  <c r="S9" i="17" s="1"/>
  <c r="Z179" i="17" s="1"/>
  <c r="R12" i="17"/>
  <c r="R9" i="17" s="1"/>
  <c r="Y179" i="17" s="1"/>
  <c r="R11" i="17"/>
  <c r="Q12" i="17"/>
  <c r="Q11" i="17"/>
  <c r="Q9" i="17" s="1"/>
  <c r="X179" i="17" s="1"/>
  <c r="P12" i="17"/>
  <c r="P11" i="17"/>
  <c r="O12" i="17"/>
  <c r="O11" i="17"/>
  <c r="O9" i="17" s="1"/>
  <c r="V179" i="17" s="1"/>
  <c r="I77" i="17"/>
  <c r="I108" i="17" s="1"/>
  <c r="J77" i="17"/>
  <c r="J108" i="17" s="1"/>
  <c r="K77" i="17"/>
  <c r="K108" i="17" s="1"/>
  <c r="L77" i="17"/>
  <c r="L108" i="17" s="1"/>
  <c r="M77" i="17"/>
  <c r="M108" i="17" s="1"/>
  <c r="H77" i="17"/>
  <c r="C15" i="21" l="1"/>
  <c r="C14" i="21"/>
  <c r="C16" i="21" s="1"/>
  <c r="C17" i="21" s="1"/>
  <c r="C26" i="21" s="1"/>
  <c r="C28" i="21" s="1"/>
  <c r="C30" i="21" s="1"/>
  <c r="E14" i="21"/>
  <c r="E16" i="21" s="1"/>
  <c r="E17" i="21" s="1"/>
  <c r="E26" i="21" s="1"/>
  <c r="E28" i="21" s="1"/>
  <c r="E30" i="21" s="1"/>
  <c r="E7" i="23" s="1"/>
  <c r="E13" i="23" s="1"/>
  <c r="E25" i="23" s="1"/>
  <c r="E15" i="21"/>
  <c r="D15" i="21"/>
  <c r="B8" i="22"/>
  <c r="D14" i="21"/>
  <c r="D16" i="21" s="1"/>
  <c r="D17" i="21" s="1"/>
  <c r="D26" i="21" s="1"/>
  <c r="D28" i="21" s="1"/>
  <c r="D30" i="21" s="1"/>
  <c r="D7" i="23" s="1"/>
  <c r="D13" i="23" s="1"/>
  <c r="D25" i="23" s="1"/>
  <c r="G98" i="17"/>
  <c r="I109" i="17" s="1"/>
  <c r="I130" i="17" s="1"/>
  <c r="G99" i="17"/>
  <c r="J109" i="17" s="1"/>
  <c r="J129" i="17" s="1"/>
  <c r="G100" i="17"/>
  <c r="K109" i="17" s="1"/>
  <c r="K127" i="17" s="1"/>
  <c r="G101" i="17"/>
  <c r="G102" i="17"/>
  <c r="G103" i="17"/>
  <c r="G97" i="17"/>
  <c r="H109" i="17" s="1"/>
  <c r="H130" i="17" s="1"/>
  <c r="M78" i="17"/>
  <c r="T78" i="17" s="1"/>
  <c r="T79" i="17" s="1"/>
  <c r="L78" i="17"/>
  <c r="S78" i="17" s="1"/>
  <c r="S79" i="17" s="1"/>
  <c r="K78" i="17"/>
  <c r="R78" i="17" s="1"/>
  <c r="R79" i="17" s="1"/>
  <c r="J78" i="17"/>
  <c r="J80" i="17" s="1"/>
  <c r="J82" i="17" s="1"/>
  <c r="I78" i="17"/>
  <c r="I80" i="17" s="1"/>
  <c r="I82" i="17" s="1"/>
  <c r="H78" i="17"/>
  <c r="O78" i="17" s="1"/>
  <c r="O79" i="17" s="1"/>
  <c r="AA86" i="17"/>
  <c r="Z86" i="17"/>
  <c r="Y86" i="17"/>
  <c r="X86" i="17"/>
  <c r="W86" i="17"/>
  <c r="V86" i="17"/>
  <c r="AA87" i="17"/>
  <c r="Z87" i="17"/>
  <c r="Y87" i="17"/>
  <c r="X87" i="17"/>
  <c r="W87" i="17"/>
  <c r="V87" i="17"/>
  <c r="E6" i="17"/>
  <c r="D6" i="17"/>
  <c r="C6" i="17"/>
  <c r="B6" i="17"/>
  <c r="AA70" i="17"/>
  <c r="Z70" i="17"/>
  <c r="Y70" i="17"/>
  <c r="X70" i="17"/>
  <c r="W70" i="17"/>
  <c r="V70" i="17"/>
  <c r="AA72" i="17"/>
  <c r="Z72" i="17"/>
  <c r="Y72" i="17"/>
  <c r="X72" i="17"/>
  <c r="W72" i="17"/>
  <c r="V72" i="17"/>
  <c r="T72" i="17"/>
  <c r="S72" i="17"/>
  <c r="R72" i="17"/>
  <c r="Q72" i="17"/>
  <c r="P72" i="17"/>
  <c r="O72" i="17"/>
  <c r="T71" i="17"/>
  <c r="S71" i="17"/>
  <c r="R71" i="17"/>
  <c r="Q71" i="17"/>
  <c r="P71" i="17"/>
  <c r="O71" i="17"/>
  <c r="V71" i="17" s="1"/>
  <c r="E71" i="17"/>
  <c r="T63" i="17"/>
  <c r="AA63" i="17" s="1"/>
  <c r="T62" i="17"/>
  <c r="AA62" i="17" s="1"/>
  <c r="T61" i="17"/>
  <c r="AA61" i="17" s="1"/>
  <c r="T60" i="17"/>
  <c r="AA60" i="17" s="1"/>
  <c r="T59" i="17"/>
  <c r="AA59" i="17" s="1"/>
  <c r="T58" i="17"/>
  <c r="AA58" i="17" s="1"/>
  <c r="T57" i="17"/>
  <c r="AA57" i="17" s="1"/>
  <c r="T56" i="17"/>
  <c r="AA56" i="17" s="1"/>
  <c r="T55" i="17"/>
  <c r="AA55" i="17" s="1"/>
  <c r="T54" i="17"/>
  <c r="AA54" i="17" s="1"/>
  <c r="T53" i="17"/>
  <c r="AA53" i="17" s="1"/>
  <c r="T52" i="17"/>
  <c r="AA52" i="17" s="1"/>
  <c r="S63" i="17"/>
  <c r="Z63" i="17" s="1"/>
  <c r="S62" i="17"/>
  <c r="Z62" i="17" s="1"/>
  <c r="S61" i="17"/>
  <c r="Z61" i="17" s="1"/>
  <c r="S60" i="17"/>
  <c r="Z60" i="17" s="1"/>
  <c r="S59" i="17"/>
  <c r="Z59" i="17" s="1"/>
  <c r="S58" i="17"/>
  <c r="Z58" i="17" s="1"/>
  <c r="S57" i="17"/>
  <c r="Z57" i="17" s="1"/>
  <c r="S56" i="17"/>
  <c r="Z56" i="17" s="1"/>
  <c r="S55" i="17"/>
  <c r="Z55" i="17" s="1"/>
  <c r="S54" i="17"/>
  <c r="Z54" i="17" s="1"/>
  <c r="S53" i="17"/>
  <c r="Z53" i="17" s="1"/>
  <c r="S52" i="17"/>
  <c r="R63" i="17"/>
  <c r="Y63" i="17" s="1"/>
  <c r="R62" i="17"/>
  <c r="Y62" i="17" s="1"/>
  <c r="R61" i="17"/>
  <c r="Y61" i="17" s="1"/>
  <c r="R60" i="17"/>
  <c r="Y60" i="17" s="1"/>
  <c r="R59" i="17"/>
  <c r="Y59" i="17" s="1"/>
  <c r="R58" i="17"/>
  <c r="Y58" i="17" s="1"/>
  <c r="R57" i="17"/>
  <c r="Y57" i="17" s="1"/>
  <c r="R56" i="17"/>
  <c r="Y56" i="17" s="1"/>
  <c r="R55" i="17"/>
  <c r="Y55" i="17" s="1"/>
  <c r="R54" i="17"/>
  <c r="Y54" i="17" s="1"/>
  <c r="R53" i="17"/>
  <c r="Y53" i="17" s="1"/>
  <c r="R52" i="17"/>
  <c r="Q63" i="17"/>
  <c r="X63" i="17" s="1"/>
  <c r="Q62" i="17"/>
  <c r="X62" i="17" s="1"/>
  <c r="Q61" i="17"/>
  <c r="X61" i="17" s="1"/>
  <c r="Q60" i="17"/>
  <c r="X60" i="17" s="1"/>
  <c r="Q59" i="17"/>
  <c r="X59" i="17" s="1"/>
  <c r="Q58" i="17"/>
  <c r="X58" i="17" s="1"/>
  <c r="Q57" i="17"/>
  <c r="X57" i="17" s="1"/>
  <c r="Q56" i="17"/>
  <c r="X56" i="17" s="1"/>
  <c r="Q55" i="17"/>
  <c r="X55" i="17" s="1"/>
  <c r="Q54" i="17"/>
  <c r="X54" i="17" s="1"/>
  <c r="Q53" i="17"/>
  <c r="X53" i="17" s="1"/>
  <c r="Q52" i="17"/>
  <c r="P63" i="17"/>
  <c r="W63" i="17" s="1"/>
  <c r="P62" i="17"/>
  <c r="W62" i="17" s="1"/>
  <c r="P61" i="17"/>
  <c r="W61" i="17" s="1"/>
  <c r="P60" i="17"/>
  <c r="W60" i="17" s="1"/>
  <c r="P59" i="17"/>
  <c r="W59" i="17" s="1"/>
  <c r="P58" i="17"/>
  <c r="W58" i="17" s="1"/>
  <c r="P57" i="17"/>
  <c r="W57" i="17" s="1"/>
  <c r="P56" i="17"/>
  <c r="W56" i="17" s="1"/>
  <c r="P55" i="17"/>
  <c r="W55" i="17" s="1"/>
  <c r="P54" i="17"/>
  <c r="W54" i="17" s="1"/>
  <c r="P53" i="17"/>
  <c r="W53" i="17" s="1"/>
  <c r="P52" i="17"/>
  <c r="W52" i="17" s="1"/>
  <c r="O53" i="17"/>
  <c r="V53" i="17" s="1"/>
  <c r="O54" i="17"/>
  <c r="V54" i="17" s="1"/>
  <c r="O55" i="17"/>
  <c r="V55" i="17" s="1"/>
  <c r="O56" i="17"/>
  <c r="V56" i="17" s="1"/>
  <c r="O57" i="17"/>
  <c r="V57" i="17" s="1"/>
  <c r="O58" i="17"/>
  <c r="V58" i="17" s="1"/>
  <c r="O59" i="17"/>
  <c r="V59" i="17" s="1"/>
  <c r="O60" i="17"/>
  <c r="V60" i="17" s="1"/>
  <c r="O61" i="17"/>
  <c r="V61" i="17" s="1"/>
  <c r="O62" i="17"/>
  <c r="V62" i="17" s="1"/>
  <c r="O63" i="17"/>
  <c r="V63" i="17" s="1"/>
  <c r="O52" i="17"/>
  <c r="E55" i="17"/>
  <c r="E56" i="17"/>
  <c r="E57" i="17"/>
  <c r="E58" i="17"/>
  <c r="E59" i="17"/>
  <c r="E60" i="17"/>
  <c r="E61" i="17"/>
  <c r="E62" i="17"/>
  <c r="E63" i="17"/>
  <c r="E54" i="17"/>
  <c r="E53" i="17"/>
  <c r="E52" i="17"/>
  <c r="C7" i="23" l="1"/>
  <c r="C13" i="23" s="1"/>
  <c r="C25" i="23" s="1"/>
  <c r="C28" i="23" s="1"/>
  <c r="D27" i="23" s="1"/>
  <c r="D28" i="23" s="1"/>
  <c r="E27" i="23" s="1"/>
  <c r="E28" i="23" s="1"/>
  <c r="C32" i="22"/>
  <c r="C8" i="22"/>
  <c r="B11" i="22"/>
  <c r="B18" i="22" s="1"/>
  <c r="B36" i="22" s="1"/>
  <c r="J110" i="17"/>
  <c r="J134" i="17" s="1"/>
  <c r="X92" i="17"/>
  <c r="X91" i="17"/>
  <c r="X94" i="17"/>
  <c r="X93" i="17"/>
  <c r="I110" i="17"/>
  <c r="I135" i="17" s="1"/>
  <c r="W91" i="17"/>
  <c r="W94" i="17"/>
  <c r="W93" i="17"/>
  <c r="W92" i="17"/>
  <c r="M109" i="17"/>
  <c r="M128" i="17" s="1"/>
  <c r="J135" i="17"/>
  <c r="J128" i="17"/>
  <c r="I129" i="17"/>
  <c r="K128" i="17"/>
  <c r="H129" i="17"/>
  <c r="L109" i="17"/>
  <c r="Q78" i="17"/>
  <c r="Q79" i="17" s="1"/>
  <c r="P78" i="17"/>
  <c r="P79" i="17" s="1"/>
  <c r="H80" i="17"/>
  <c r="H82" i="17" s="1"/>
  <c r="K80" i="17"/>
  <c r="K82" i="17" s="1"/>
  <c r="L80" i="17"/>
  <c r="L82" i="17" s="1"/>
  <c r="M80" i="17"/>
  <c r="M82" i="17" s="1"/>
  <c r="W85" i="17"/>
  <c r="AA85" i="17"/>
  <c r="Q68" i="17"/>
  <c r="X183" i="17" s="1"/>
  <c r="V85" i="17"/>
  <c r="X85" i="17"/>
  <c r="Y85" i="17"/>
  <c r="Z85" i="17"/>
  <c r="R68" i="17"/>
  <c r="Y183" i="17" s="1"/>
  <c r="S68" i="17"/>
  <c r="Z183" i="17" s="1"/>
  <c r="P68" i="17"/>
  <c r="W183" i="17" s="1"/>
  <c r="X71" i="17"/>
  <c r="X68" i="17" s="1"/>
  <c r="Y71" i="17"/>
  <c r="Y68" i="17" s="1"/>
  <c r="O51" i="17"/>
  <c r="V182" i="17" s="1"/>
  <c r="S51" i="17"/>
  <c r="Z182" i="17" s="1"/>
  <c r="O68" i="17"/>
  <c r="V183" i="17" s="1"/>
  <c r="Z52" i="17"/>
  <c r="V52" i="17"/>
  <c r="T68" i="17"/>
  <c r="AA183" i="17" s="1"/>
  <c r="R51" i="17"/>
  <c r="Y182" i="17" s="1"/>
  <c r="V68" i="17"/>
  <c r="Q51" i="17"/>
  <c r="X182" i="17" s="1"/>
  <c r="X52" i="17"/>
  <c r="W71" i="17"/>
  <c r="W68" i="17" s="1"/>
  <c r="Y52" i="17"/>
  <c r="T51" i="17"/>
  <c r="AA182" i="17" s="1"/>
  <c r="P51" i="17"/>
  <c r="W182" i="17" s="1"/>
  <c r="Z71" i="17"/>
  <c r="Z68" i="17" s="1"/>
  <c r="AA71" i="17"/>
  <c r="AA68" i="17" s="1"/>
  <c r="T31" i="17"/>
  <c r="AA31" i="17" s="1"/>
  <c r="T30" i="17"/>
  <c r="AA30" i="17" s="1"/>
  <c r="T29" i="17"/>
  <c r="AA29" i="17" s="1"/>
  <c r="T28" i="17"/>
  <c r="AA28" i="17" s="1"/>
  <c r="T27" i="17"/>
  <c r="AA27" i="17" s="1"/>
  <c r="T26" i="17"/>
  <c r="AA26" i="17" s="1"/>
  <c r="T25" i="17"/>
  <c r="AA25" i="17" s="1"/>
  <c r="T24" i="17"/>
  <c r="AA24" i="17" s="1"/>
  <c r="S31" i="17"/>
  <c r="Z31" i="17" s="1"/>
  <c r="S30" i="17"/>
  <c r="Z30" i="17" s="1"/>
  <c r="S29" i="17"/>
  <c r="Z29" i="17" s="1"/>
  <c r="S28" i="17"/>
  <c r="Z28" i="17" s="1"/>
  <c r="S27" i="17"/>
  <c r="Z27" i="17" s="1"/>
  <c r="S26" i="17"/>
  <c r="Z26" i="17" s="1"/>
  <c r="S25" i="17"/>
  <c r="Z25" i="17" s="1"/>
  <c r="S24" i="17"/>
  <c r="Z24" i="17" s="1"/>
  <c r="R31" i="17"/>
  <c r="Y31" i="17" s="1"/>
  <c r="R30" i="17"/>
  <c r="Y30" i="17" s="1"/>
  <c r="R29" i="17"/>
  <c r="Y29" i="17" s="1"/>
  <c r="R28" i="17"/>
  <c r="Y28" i="17" s="1"/>
  <c r="R27" i="17"/>
  <c r="Y27" i="17" s="1"/>
  <c r="R26" i="17"/>
  <c r="Y26" i="17" s="1"/>
  <c r="R25" i="17"/>
  <c r="Y25" i="17" s="1"/>
  <c r="R24" i="17"/>
  <c r="Y24" i="17" s="1"/>
  <c r="Q31" i="17"/>
  <c r="X31" i="17" s="1"/>
  <c r="Q30" i="17"/>
  <c r="X30" i="17" s="1"/>
  <c r="Q29" i="17"/>
  <c r="X29" i="17" s="1"/>
  <c r="Q28" i="17"/>
  <c r="X28" i="17" s="1"/>
  <c r="Q27" i="17"/>
  <c r="X27" i="17" s="1"/>
  <c r="Q26" i="17"/>
  <c r="X26" i="17" s="1"/>
  <c r="Q25" i="17"/>
  <c r="X25" i="17" s="1"/>
  <c r="Q24" i="17"/>
  <c r="X24" i="17" s="1"/>
  <c r="P31" i="17"/>
  <c r="W31" i="17" s="1"/>
  <c r="P30" i="17"/>
  <c r="W30" i="17" s="1"/>
  <c r="P29" i="17"/>
  <c r="W29" i="17" s="1"/>
  <c r="P28" i="17"/>
  <c r="W28" i="17" s="1"/>
  <c r="P27" i="17"/>
  <c r="W27" i="17" s="1"/>
  <c r="P26" i="17"/>
  <c r="W26" i="17" s="1"/>
  <c r="P25" i="17"/>
  <c r="W25" i="17" s="1"/>
  <c r="P24" i="17"/>
  <c r="W24" i="17" s="1"/>
  <c r="O25" i="17"/>
  <c r="V25" i="17" s="1"/>
  <c r="O26" i="17"/>
  <c r="V26" i="17" s="1"/>
  <c r="O27" i="17"/>
  <c r="V27" i="17" s="1"/>
  <c r="O28" i="17"/>
  <c r="V28" i="17" s="1"/>
  <c r="O29" i="17"/>
  <c r="V29" i="17" s="1"/>
  <c r="O30" i="17"/>
  <c r="V30" i="17" s="1"/>
  <c r="O31" i="17"/>
  <c r="V31" i="17" s="1"/>
  <c r="O24" i="17"/>
  <c r="V24" i="17" s="1"/>
  <c r="E31" i="17"/>
  <c r="E25" i="17"/>
  <c r="E26" i="17"/>
  <c r="E27" i="17"/>
  <c r="E28" i="17"/>
  <c r="E29" i="17"/>
  <c r="E30" i="17"/>
  <c r="E24" i="17"/>
  <c r="AA18" i="17"/>
  <c r="Z18" i="17"/>
  <c r="Y18" i="17"/>
  <c r="X18" i="17"/>
  <c r="W18" i="17"/>
  <c r="V18" i="17"/>
  <c r="T16" i="17"/>
  <c r="AA16" i="17" s="1"/>
  <c r="T15" i="17"/>
  <c r="AA15" i="17" s="1"/>
  <c r="T14" i="17"/>
  <c r="AA14" i="17" s="1"/>
  <c r="T13" i="17"/>
  <c r="T17" i="17"/>
  <c r="AA17" i="17" s="1"/>
  <c r="S17" i="17"/>
  <c r="Z17" i="17" s="1"/>
  <c r="R17" i="17"/>
  <c r="Y17" i="17" s="1"/>
  <c r="Q17" i="17"/>
  <c r="X17" i="17" s="1"/>
  <c r="P17" i="17"/>
  <c r="W17" i="17" s="1"/>
  <c r="V17" i="17"/>
  <c r="S16" i="17"/>
  <c r="Z16" i="17" s="1"/>
  <c r="S15" i="17"/>
  <c r="Z15" i="17" s="1"/>
  <c r="S14" i="17"/>
  <c r="Z14" i="17" s="1"/>
  <c r="S13" i="17"/>
  <c r="R16" i="17"/>
  <c r="Y16" i="17" s="1"/>
  <c r="R15" i="17"/>
  <c r="Y15" i="17" s="1"/>
  <c r="R14" i="17"/>
  <c r="Y14" i="17" s="1"/>
  <c r="R13" i="17"/>
  <c r="Y13" i="17" s="1"/>
  <c r="Q16" i="17"/>
  <c r="X16" i="17" s="1"/>
  <c r="Q15" i="17"/>
  <c r="X15" i="17" s="1"/>
  <c r="Q14" i="17"/>
  <c r="X14" i="17" s="1"/>
  <c r="Q13" i="17"/>
  <c r="X13" i="17" s="1"/>
  <c r="P15" i="17"/>
  <c r="W15" i="17" s="1"/>
  <c r="P16" i="17"/>
  <c r="W16" i="17" s="1"/>
  <c r="P14" i="17"/>
  <c r="W14" i="17" s="1"/>
  <c r="P13" i="17"/>
  <c r="W13" i="17" s="1"/>
  <c r="O13" i="17"/>
  <c r="O14" i="17"/>
  <c r="V14" i="17" s="1"/>
  <c r="O15" i="17"/>
  <c r="V15" i="17" s="1"/>
  <c r="O16" i="17"/>
  <c r="V16" i="17" s="1"/>
  <c r="E16" i="17"/>
  <c r="E15" i="17"/>
  <c r="E14" i="17"/>
  <c r="E13" i="17"/>
  <c r="F5" i="17"/>
  <c r="F4" i="17"/>
  <c r="F3" i="17"/>
  <c r="D8" i="22" l="1"/>
  <c r="C11" i="22"/>
  <c r="C18" i="22" s="1"/>
  <c r="D32" i="22"/>
  <c r="C33" i="22"/>
  <c r="C34" i="22" s="1"/>
  <c r="I133" i="17"/>
  <c r="W139" i="17" s="1"/>
  <c r="J133" i="17"/>
  <c r="X139" i="17" s="1"/>
  <c r="I136" i="17"/>
  <c r="J136" i="17"/>
  <c r="X142" i="17" s="1"/>
  <c r="AA93" i="17"/>
  <c r="AA92" i="17"/>
  <c r="AA94" i="17"/>
  <c r="L110" i="17"/>
  <c r="Z92" i="17"/>
  <c r="Z94" i="17"/>
  <c r="Z91" i="17"/>
  <c r="Z93" i="17"/>
  <c r="K110" i="17"/>
  <c r="K133" i="17" s="1"/>
  <c r="Y92" i="17"/>
  <c r="Y94" i="17"/>
  <c r="Y93" i="17"/>
  <c r="Y91" i="17"/>
  <c r="M127" i="17"/>
  <c r="I134" i="17"/>
  <c r="W140" i="17" s="1"/>
  <c r="H110" i="17"/>
  <c r="H136" i="17" s="1"/>
  <c r="V94" i="17"/>
  <c r="V93" i="17"/>
  <c r="V92" i="17"/>
  <c r="V91" i="17"/>
  <c r="M110" i="17"/>
  <c r="M135" i="17" s="1"/>
  <c r="AA141" i="17" s="1"/>
  <c r="AA91" i="17"/>
  <c r="H134" i="17"/>
  <c r="V140" i="17" s="1"/>
  <c r="H135" i="17"/>
  <c r="L136" i="17"/>
  <c r="Z142" i="17" s="1"/>
  <c r="L135" i="17"/>
  <c r="Z141" i="17" s="1"/>
  <c r="L133" i="17"/>
  <c r="L134" i="17"/>
  <c r="M134" i="17"/>
  <c r="K136" i="17"/>
  <c r="Y142" i="17" s="1"/>
  <c r="L127" i="17"/>
  <c r="L128" i="17"/>
  <c r="H108" i="17"/>
  <c r="J81" i="17"/>
  <c r="J107" i="17" s="1"/>
  <c r="I81" i="17"/>
  <c r="I107" i="17" s="1"/>
  <c r="H81" i="17"/>
  <c r="H107" i="17" s="1"/>
  <c r="M81" i="17"/>
  <c r="M107" i="17" s="1"/>
  <c r="K81" i="17"/>
  <c r="K107" i="17" s="1"/>
  <c r="L81" i="17"/>
  <c r="L107" i="17" s="1"/>
  <c r="S10" i="17"/>
  <c r="Z180" i="17" s="1"/>
  <c r="T10" i="17"/>
  <c r="AA180" i="17" s="1"/>
  <c r="X64" i="17"/>
  <c r="X51" i="17" s="1"/>
  <c r="O10" i="17"/>
  <c r="V180" i="17" s="1"/>
  <c r="W64" i="17"/>
  <c r="W51" i="17" s="1"/>
  <c r="Z13" i="17"/>
  <c r="Z10" i="17" s="1"/>
  <c r="Q10" i="17"/>
  <c r="X180" i="17" s="1"/>
  <c r="AA13" i="17"/>
  <c r="AA10" i="17" s="1"/>
  <c r="F6" i="17"/>
  <c r="V13" i="17"/>
  <c r="V10" i="17" s="1"/>
  <c r="W10" i="17"/>
  <c r="Y10" i="17"/>
  <c r="X10" i="17"/>
  <c r="Q23" i="17"/>
  <c r="X181" i="17" s="1"/>
  <c r="P10" i="17"/>
  <c r="W180" i="17" s="1"/>
  <c r="P23" i="17"/>
  <c r="W181" i="17" s="1"/>
  <c r="V64" i="17"/>
  <c r="V51" i="17" s="1"/>
  <c r="R10" i="17"/>
  <c r="Y180" i="17" s="1"/>
  <c r="O23" i="17"/>
  <c r="V181" i="17" s="1"/>
  <c r="T23" i="17"/>
  <c r="AA181" i="17" s="1"/>
  <c r="S23" i="17"/>
  <c r="Z181" i="17" s="1"/>
  <c r="R23" i="17"/>
  <c r="Y181" i="17" s="1"/>
  <c r="AA64" i="17"/>
  <c r="AA51" i="17" s="1"/>
  <c r="Y64" i="17"/>
  <c r="Y51" i="17" s="1"/>
  <c r="Z64" i="17"/>
  <c r="Z51" i="17" s="1"/>
  <c r="C36" i="22" l="1"/>
  <c r="E32" i="22"/>
  <c r="E33" i="22" s="1"/>
  <c r="E34" i="22" s="1"/>
  <c r="D33" i="22"/>
  <c r="D34" i="22" s="1"/>
  <c r="E8" i="22"/>
  <c r="E11" i="22" s="1"/>
  <c r="E18" i="22" s="1"/>
  <c r="E36" i="22" s="1"/>
  <c r="D11" i="22"/>
  <c r="D18" i="22" s="1"/>
  <c r="K134" i="17"/>
  <c r="M136" i="17"/>
  <c r="AA142" i="17" s="1"/>
  <c r="H133" i="17"/>
  <c r="V139" i="17" s="1"/>
  <c r="K135" i="17"/>
  <c r="Y141" i="17" s="1"/>
  <c r="M133" i="17"/>
  <c r="L122" i="17"/>
  <c r="L121" i="17"/>
  <c r="M121" i="17"/>
  <c r="M122" i="17"/>
  <c r="H124" i="17"/>
  <c r="H123" i="17"/>
  <c r="I123" i="17"/>
  <c r="I124" i="17"/>
  <c r="K122" i="17"/>
  <c r="K121" i="17"/>
  <c r="J123" i="17"/>
  <c r="J122" i="17"/>
  <c r="L116" i="17"/>
  <c r="L115" i="17"/>
  <c r="K116" i="17"/>
  <c r="K115" i="17"/>
  <c r="M115" i="17"/>
  <c r="M116" i="17"/>
  <c r="H118" i="17"/>
  <c r="H117" i="17"/>
  <c r="I118" i="17"/>
  <c r="I117" i="17"/>
  <c r="J117" i="17"/>
  <c r="J116" i="17"/>
  <c r="X140" i="17" s="1"/>
  <c r="Y32" i="17"/>
  <c r="Y23" i="17" s="1"/>
  <c r="Y144" i="17" s="1"/>
  <c r="W32" i="17"/>
  <c r="W23" i="17" s="1"/>
  <c r="W144" i="17" s="1"/>
  <c r="AA32" i="17"/>
  <c r="AA23" i="17" s="1"/>
  <c r="AA144" i="17" s="1"/>
  <c r="Z32" i="17"/>
  <c r="Z23" i="17" s="1"/>
  <c r="Z144" i="17" s="1"/>
  <c r="V32" i="17"/>
  <c r="V23" i="17" s="1"/>
  <c r="V144" i="17" s="1"/>
  <c r="X32" i="17"/>
  <c r="X23" i="17" s="1"/>
  <c r="X144" i="17" s="1"/>
  <c r="D36" i="22" l="1"/>
  <c r="X151" i="17"/>
  <c r="X157" i="17" s="1"/>
  <c r="X145" i="17"/>
  <c r="X152" i="17" s="1"/>
  <c r="X148" i="17"/>
  <c r="X158" i="17"/>
  <c r="V151" i="17"/>
  <c r="V157" i="17" s="1"/>
  <c r="V146" i="17"/>
  <c r="V153" i="17" s="1"/>
  <c r="V145" i="17"/>
  <c r="V152" i="17" s="1"/>
  <c r="V158" i="17" s="1"/>
  <c r="AA151" i="17"/>
  <c r="AA148" i="17"/>
  <c r="AA147" i="17"/>
  <c r="AA154" i="17" s="1"/>
  <c r="AA160" i="17" s="1"/>
  <c r="W151" i="17"/>
  <c r="W157" i="17" s="1"/>
  <c r="W145" i="17"/>
  <c r="W152" i="17" s="1"/>
  <c r="W158" i="17" s="1"/>
  <c r="W146" i="17"/>
  <c r="W153" i="17" s="1"/>
  <c r="Z151" i="17"/>
  <c r="Z148" i="17"/>
  <c r="Z147" i="17"/>
  <c r="Z154" i="17" s="1"/>
  <c r="Z160" i="17" s="1"/>
  <c r="Y151" i="17"/>
  <c r="Y148" i="17"/>
  <c r="Y147" i="17"/>
  <c r="Y154" i="17" s="1"/>
  <c r="Y160" i="17" s="1"/>
  <c r="X141" i="17"/>
  <c r="Y139" i="17"/>
  <c r="Y157" i="17" s="1"/>
  <c r="Z139" i="17"/>
  <c r="Z157" i="17" s="1"/>
  <c r="AA140" i="17"/>
  <c r="AA139" i="17"/>
  <c r="AA157" i="17" s="1"/>
  <c r="V142" i="17"/>
  <c r="W141" i="17"/>
  <c r="W142" i="17"/>
  <c r="W160" i="17" s="1"/>
  <c r="Z140" i="17"/>
  <c r="Y140" i="17"/>
  <c r="V141" i="17"/>
  <c r="V159" i="17" s="1"/>
  <c r="Y145" i="17"/>
  <c r="Y152" i="17" s="1"/>
  <c r="Y146" i="17"/>
  <c r="Y153" i="17" s="1"/>
  <c r="Y159" i="17" s="1"/>
  <c r="V147" i="17"/>
  <c r="V154" i="17" s="1"/>
  <c r="V148" i="17"/>
  <c r="X146" i="17"/>
  <c r="X153" i="17" s="1"/>
  <c r="X147" i="17"/>
  <c r="X154" i="17" s="1"/>
  <c r="X160" i="17" s="1"/>
  <c r="Z146" i="17"/>
  <c r="Z153" i="17" s="1"/>
  <c r="Z159" i="17" s="1"/>
  <c r="Z145" i="17"/>
  <c r="Z152" i="17" s="1"/>
  <c r="W148" i="17"/>
  <c r="W147" i="17"/>
  <c r="W154" i="17" s="1"/>
  <c r="AA146" i="17"/>
  <c r="AA153" i="17" s="1"/>
  <c r="AA159" i="17" s="1"/>
  <c r="AA145" i="17"/>
  <c r="AA152" i="17" s="1"/>
  <c r="W159" i="17" l="1"/>
  <c r="AA138" i="17"/>
  <c r="Z158" i="17"/>
  <c r="AB157" i="17"/>
  <c r="Y163" i="17" s="1"/>
  <c r="Y170" i="17" s="1"/>
  <c r="X163" i="17"/>
  <c r="X170" i="17" s="1"/>
  <c r="V163" i="17"/>
  <c r="W163" i="17"/>
  <c r="W170" i="17" s="1"/>
  <c r="Z163" i="17"/>
  <c r="Z170" i="17" s="1"/>
  <c r="V166" i="17"/>
  <c r="V173" i="17" s="1"/>
  <c r="X138" i="17"/>
  <c r="X159" i="17"/>
  <c r="AA158" i="17"/>
  <c r="V160" i="17"/>
  <c r="AB160" i="17" s="1"/>
  <c r="AA166" i="17" s="1"/>
  <c r="AA173" i="17" s="1"/>
  <c r="Y158" i="17"/>
  <c r="Z138" i="17"/>
  <c r="Y138" i="17"/>
  <c r="V138" i="17"/>
  <c r="W138" i="17"/>
  <c r="Z166" i="17" l="1"/>
  <c r="Z173" i="17" s="1"/>
  <c r="AB159" i="17"/>
  <c r="Y165" i="17" s="1"/>
  <c r="Y172" i="17" s="1"/>
  <c r="Y166" i="17"/>
  <c r="Y173" i="17" s="1"/>
  <c r="W166" i="17"/>
  <c r="W173" i="17" s="1"/>
  <c r="V170" i="17"/>
  <c r="AB158" i="17"/>
  <c r="Y164" i="17" s="1"/>
  <c r="Y171" i="17" s="1"/>
  <c r="Y169" i="17" s="1"/>
  <c r="X166" i="17"/>
  <c r="X173" i="17" s="1"/>
  <c r="AA163" i="17"/>
  <c r="AA170" i="17" s="1"/>
  <c r="AB166" i="17"/>
  <c r="V165" i="17"/>
  <c r="V172" i="17" s="1"/>
  <c r="AA165" i="17"/>
  <c r="AA172" i="17" s="1"/>
  <c r="Z165" i="17"/>
  <c r="Z172" i="17" s="1"/>
  <c r="W165" i="17"/>
  <c r="W172" i="17" s="1"/>
  <c r="X165" i="17"/>
  <c r="X172" i="17" s="1"/>
  <c r="AA164" i="17" l="1"/>
  <c r="AA171" i="17" s="1"/>
  <c r="V164" i="17"/>
  <c r="V171" i="17" s="1"/>
  <c r="AA169" i="17"/>
  <c r="W164" i="17"/>
  <c r="W171" i="17" s="1"/>
  <c r="W169" i="17" s="1"/>
  <c r="W175" i="17" s="1"/>
  <c r="W176" i="17"/>
  <c r="AA175" i="17"/>
  <c r="AA176" i="17"/>
  <c r="Y175" i="17"/>
  <c r="Y176" i="17"/>
  <c r="AB163" i="17"/>
  <c r="V169" i="17"/>
  <c r="X164" i="17"/>
  <c r="X171" i="17" s="1"/>
  <c r="X169" i="17" s="1"/>
  <c r="Z164" i="17"/>
  <c r="AB165" i="17"/>
  <c r="Y178" i="17" l="1"/>
  <c r="Y184" i="17" s="1"/>
  <c r="V175" i="17"/>
  <c r="V176" i="17"/>
  <c r="AA178" i="17"/>
  <c r="AA184" i="17" s="1"/>
  <c r="AB164" i="17"/>
  <c r="Z171" i="17"/>
  <c r="Z169" i="17" s="1"/>
  <c r="X175" i="17"/>
  <c r="X176" i="17"/>
  <c r="W178" i="17"/>
  <c r="W184" i="17" s="1"/>
  <c r="X178" i="17" l="1"/>
  <c r="X184" i="17" s="1"/>
  <c r="Z175" i="17"/>
  <c r="Z176" i="17"/>
  <c r="V178" i="17"/>
  <c r="V184" i="17" s="1"/>
  <c r="Z178" i="17" l="1"/>
  <c r="Z184" i="17" s="1"/>
</calcChain>
</file>

<file path=xl/sharedStrings.xml><?xml version="1.0" encoding="utf-8"?>
<sst xmlns="http://schemas.openxmlformats.org/spreadsheetml/2006/main" count="417" uniqueCount="276">
  <si>
    <t>Premium</t>
  </si>
  <si>
    <t>Mass</t>
  </si>
  <si>
    <t>Discount</t>
  </si>
  <si>
    <t>Total</t>
  </si>
  <si>
    <t>TOTAL</t>
  </si>
  <si>
    <t>Category</t>
  </si>
  <si>
    <t>Multiplier</t>
  </si>
  <si>
    <t>Applies To</t>
  </si>
  <si>
    <t>Technology</t>
  </si>
  <si>
    <t>Mobile App</t>
  </si>
  <si>
    <t>Voice Ordering</t>
  </si>
  <si>
    <t>Dark Store System</t>
  </si>
  <si>
    <t>Rider App</t>
  </si>
  <si>
    <t>Demand Forecasting AI</t>
  </si>
  <si>
    <t>Dynamic Pricing</t>
  </si>
  <si>
    <t>Supply Chain Analytics</t>
  </si>
  <si>
    <t>Website Development</t>
  </si>
  <si>
    <t>Fleet</t>
  </si>
  <si>
    <t>Route Optimization</t>
  </si>
  <si>
    <t>GPS Tracking</t>
  </si>
  <si>
    <t>Algorithm Assignment</t>
  </si>
  <si>
    <t>Warehousing System</t>
  </si>
  <si>
    <t>Electric Bikes %</t>
  </si>
  <si>
    <t>Bike-Rider Optimization</t>
  </si>
  <si>
    <t>Sourcing</t>
  </si>
  <si>
    <t>Marketing</t>
  </si>
  <si>
    <t>Google Ads</t>
  </si>
  <si>
    <t>Facebook Ads</t>
  </si>
  <si>
    <t>Referral Program</t>
  </si>
  <si>
    <t>First Order Discount</t>
  </si>
  <si>
    <t>Influencer Marketing</t>
  </si>
  <si>
    <t>Cashback Option</t>
  </si>
  <si>
    <t>Loyalty Program</t>
  </si>
  <si>
    <t>Push Notifications</t>
  </si>
  <si>
    <t>Email and SMS</t>
  </si>
  <si>
    <t>Credit Card Offers</t>
  </si>
  <si>
    <t>Corporate Tie-ups</t>
  </si>
  <si>
    <t>Housing Society</t>
  </si>
  <si>
    <t>Corporate Team Size</t>
  </si>
  <si>
    <t>Quality</t>
  </si>
  <si>
    <t>R&amp;D</t>
  </si>
  <si>
    <t>High</t>
  </si>
  <si>
    <t>Food</t>
  </si>
  <si>
    <t>Mobile</t>
  </si>
  <si>
    <t>Cost</t>
  </si>
  <si>
    <t>Player 1</t>
  </si>
  <si>
    <t>Player 2</t>
  </si>
  <si>
    <t>Player 3</t>
  </si>
  <si>
    <t>Player 4</t>
  </si>
  <si>
    <t>Focus</t>
  </si>
  <si>
    <t>Market Share</t>
  </si>
  <si>
    <t>COGS</t>
  </si>
  <si>
    <t>Sustainability 5 star</t>
  </si>
  <si>
    <t>Sustainability 4.5 star</t>
  </si>
  <si>
    <t>Sustainability 4 star</t>
  </si>
  <si>
    <t>Sustainability 3.5 star</t>
  </si>
  <si>
    <t>Sustainability 3 star</t>
  </si>
  <si>
    <t>Number of riders</t>
  </si>
  <si>
    <t>Number of bikes</t>
  </si>
  <si>
    <t>Local</t>
  </si>
  <si>
    <t>SP Mult</t>
  </si>
  <si>
    <t>Gross Profit</t>
  </si>
  <si>
    <t>STEP 1</t>
  </si>
  <si>
    <t>Clothes</t>
  </si>
  <si>
    <t>Player 5</t>
  </si>
  <si>
    <t>Player 6</t>
  </si>
  <si>
    <t>Prem All</t>
  </si>
  <si>
    <t>Prem Sel</t>
  </si>
  <si>
    <t>Disc Sel</t>
  </si>
  <si>
    <t>Disc All</t>
  </si>
  <si>
    <t>STEP 2</t>
  </si>
  <si>
    <t>Ratio</t>
  </si>
  <si>
    <t>Mult</t>
  </si>
  <si>
    <t>Competitive</t>
  </si>
  <si>
    <t>STEP 3</t>
  </si>
  <si>
    <t>Total investment/average</t>
  </si>
  <si>
    <t>Slider</t>
  </si>
  <si>
    <t>Indi Efficiency</t>
  </si>
  <si>
    <t>STEP 4</t>
  </si>
  <si>
    <t>STEP 5</t>
  </si>
  <si>
    <t>STEP 6</t>
  </si>
  <si>
    <t>Operations HR</t>
  </si>
  <si>
    <t>Choose</t>
  </si>
  <si>
    <t>Choose, Competitive</t>
  </si>
  <si>
    <t>STEP 7</t>
  </si>
  <si>
    <t>CP Mult</t>
  </si>
  <si>
    <t>Standard</t>
  </si>
  <si>
    <t>Basic</t>
  </si>
  <si>
    <t>Others</t>
  </si>
  <si>
    <t>New Player in Segment</t>
  </si>
  <si>
    <t>Based Segment</t>
  </si>
  <si>
    <t>Reduce by 0.4 till 1.5</t>
  </si>
  <si>
    <t>Selling Price</t>
  </si>
  <si>
    <t>Base Points Elasticity</t>
  </si>
  <si>
    <t>Education Budget/Rider</t>
  </si>
  <si>
    <t>Rider Bonus Budget</t>
  </si>
  <si>
    <t>Automatic</t>
  </si>
  <si>
    <t>SP Mult Base</t>
  </si>
  <si>
    <t>Sigmoid</t>
  </si>
  <si>
    <t>Base SP</t>
  </si>
  <si>
    <t>Points</t>
  </si>
  <si>
    <t>Actual Quality</t>
  </si>
  <si>
    <t>Base Actual Quality</t>
  </si>
  <si>
    <t>Competitive Quality</t>
  </si>
  <si>
    <t>Base Competitive Quality</t>
  </si>
  <si>
    <t>BASE</t>
  </si>
  <si>
    <t>Sigmoid New</t>
  </si>
  <si>
    <t>m_0, k</t>
  </si>
  <si>
    <t>Height Price</t>
  </si>
  <si>
    <t>Basic All</t>
  </si>
  <si>
    <t>Basic Sel</t>
  </si>
  <si>
    <t>Height Price Prem</t>
  </si>
  <si>
    <t>Height Price Std</t>
  </si>
  <si>
    <t>Height Price Bas</t>
  </si>
  <si>
    <t>Height Price Disc</t>
  </si>
  <si>
    <t>Final MULITPLIER</t>
  </si>
  <si>
    <t>Less</t>
  </si>
  <si>
    <t>Med</t>
  </si>
  <si>
    <t>Very High</t>
  </si>
  <si>
    <t>Expected Sale</t>
  </si>
  <si>
    <t>Expected Revenue</t>
  </si>
  <si>
    <t>Distribution Cost</t>
  </si>
  <si>
    <t>Rider Cost</t>
  </si>
  <si>
    <t>Fleet Expensess</t>
  </si>
  <si>
    <t>Tech Expenses</t>
  </si>
  <si>
    <t>Marketing Expenses</t>
  </si>
  <si>
    <t>HR Expenses</t>
  </si>
  <si>
    <t>Operating Profit</t>
  </si>
  <si>
    <t>Premium, Standard</t>
  </si>
  <si>
    <t>Mandatory</t>
  </si>
  <si>
    <t>Standard, Basic, Discount</t>
  </si>
  <si>
    <t>Standard, Basic</t>
  </si>
  <si>
    <t>Management</t>
  </si>
  <si>
    <t>QUICK COMMERCE - FINANCIAL MODEL SETUP</t>
  </si>
  <si>
    <t>Player Name:</t>
  </si>
  <si>
    <t>Round:</t>
  </si>
  <si>
    <t>INITIAL CAPITAL</t>
  </si>
  <si>
    <t>Equity Investment</t>
  </si>
  <si>
    <t>Loan Amount</t>
  </si>
  <si>
    <t>Interest Rate (Annual)</t>
  </si>
  <si>
    <t>Total Capital</t>
  </si>
  <si>
    <t>GAME PARAMETERS</t>
  </si>
  <si>
    <t>Base Orders per Day</t>
  </si>
  <si>
    <t>Days per Month</t>
  </si>
  <si>
    <t>GAME INPUTS - PLAYER DECISIONS</t>
  </si>
  <si>
    <t>Enter all game decisions here (Blue cells)</t>
  </si>
  <si>
    <t>CATEGORY MULTIPLIERS</t>
  </si>
  <si>
    <t>Month 1</t>
  </si>
  <si>
    <t>Month 2</t>
  </si>
  <si>
    <t>Month 3</t>
  </si>
  <si>
    <t>Quality Multiplier</t>
  </si>
  <si>
    <t>TOTAL INVESTMENTS</t>
  </si>
  <si>
    <t>Fleet Investments</t>
  </si>
  <si>
    <t>Technology Investments</t>
  </si>
  <si>
    <t>Marketing Spend</t>
  </si>
  <si>
    <t>HR Costs</t>
  </si>
  <si>
    <t>INCOME STATEMENT</t>
  </si>
  <si>
    <t>Player:</t>
  </si>
  <si>
    <t>Line Item</t>
  </si>
  <si>
    <t>REVENUE</t>
  </si>
  <si>
    <t xml:space="preserve">  Premium Segment</t>
  </si>
  <si>
    <t xml:space="preserve">  Standard Segment</t>
  </si>
  <si>
    <t xml:space="preserve">  Basic Segment</t>
  </si>
  <si>
    <t xml:space="preserve">  Discount Segment</t>
  </si>
  <si>
    <t>Total Revenue</t>
  </si>
  <si>
    <t>COST OF SALES</t>
  </si>
  <si>
    <t xml:space="preserve">  Cost of Goods Sold (40%)</t>
  </si>
  <si>
    <t xml:space="preserve">  Delivery &amp; Packaging</t>
  </si>
  <si>
    <t>Total Cost of Sales</t>
  </si>
  <si>
    <t>GROSS PROFIT</t>
  </si>
  <si>
    <t>OPERATING EXPENSES</t>
  </si>
  <si>
    <t xml:space="preserve">  Fleet Costs</t>
  </si>
  <si>
    <t xml:space="preserve">  Technology Costs</t>
  </si>
  <si>
    <t xml:space="preserve">  Marketing Expenses</t>
  </si>
  <si>
    <t xml:space="preserve">  HR &amp; Operations</t>
  </si>
  <si>
    <t xml:space="preserve">  Rent &amp; Utilities</t>
  </si>
  <si>
    <t>Total Operating Expenses</t>
  </si>
  <si>
    <t>EBITDA</t>
  </si>
  <si>
    <t xml:space="preserve">  Depreciation &amp; Amortization</t>
  </si>
  <si>
    <t>EBIT</t>
  </si>
  <si>
    <t xml:space="preserve">  Interest Expense</t>
  </si>
  <si>
    <t>NET INCOME</t>
  </si>
  <si>
    <t>BALANCE SHEET</t>
  </si>
  <si>
    <t>Account</t>
  </si>
  <si>
    <t>Beginning</t>
  </si>
  <si>
    <t>ASSETS</t>
  </si>
  <si>
    <t>Current Assets</t>
  </si>
  <si>
    <t xml:space="preserve">  Cash</t>
  </si>
  <si>
    <t xml:space="preserve">  Accounts Receivable</t>
  </si>
  <si>
    <t xml:space="preserve">  Inventory</t>
  </si>
  <si>
    <t>Total Current Assets</t>
  </si>
  <si>
    <t>Fixed Assets</t>
  </si>
  <si>
    <t xml:space="preserve">  Property &amp; Equipment</t>
  </si>
  <si>
    <t xml:space="preserve">  Less: Accum. Depreciation</t>
  </si>
  <si>
    <t xml:space="preserve">  Intangible Assets</t>
  </si>
  <si>
    <t>Total Fixed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</si>
  <si>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</si>
  <si>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</si>
  <si>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</si>
  <si>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</si>
  <si>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</si>
  <si>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</si>
  <si>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Liabilities</t>
  </si>
  <si>
    <t xml:space="preserve">  Long-term Debt</t>
  </si>
  <si>
    <t>Total Liabilities</t>
  </si>
  <si>
    <t>Equity</t>
  </si>
  <si>
    <t xml:space="preserve">  Share Capital</t>
  </si>
  <si>
    <t xml:space="preserve">  Retained Earnings</t>
  </si>
  <si>
    <t>Total Equity</t>
  </si>
  <si>
    <t>TOTAL LIABILITIES &amp; EQUITY</t>
  </si>
  <si>
    <t>BALANCE CHECK (Should be 0)</t>
  </si>
  <si>
    <t>CASH FLOW STATEMENT</t>
  </si>
  <si>
    <t>Activity</t>
  </si>
  <si>
    <t>OPERATING ACTIVITIES</t>
  </si>
  <si>
    <t xml:space="preserve">  Net Income</t>
  </si>
  <si>
    <t xml:space="preserve">  Add: Depreciation</t>
  </si>
  <si>
    <t xml:space="preserve">  (Increase) in AR</t>
  </si>
  <si>
    <t xml:space="preserve">  (Increase) in Inventory</t>
  </si>
  <si>
    <t xml:space="preserve">  Increase in AP</t>
  </si>
  <si>
    <t xml:space="preserve">  Increase in Accrued Exp</t>
  </si>
  <si>
    <t>Net Cash from Operations</t>
  </si>
  <si>
    <t>INVESTING ACTIVITIES</t>
  </si>
  <si>
    <t xml:space="preserve">  Equipment Purchases</t>
  </si>
  <si>
    <t xml:space="preserve">  Technology Investments</t>
  </si>
  <si>
    <t>Net Cash from Investing</t>
  </si>
  <si>
    <t>FINANCING ACTIVITIES</t>
  </si>
  <si>
    <t xml:space="preserve">  Equity Proceeds</t>
  </si>
  <si>
    <t xml:space="preserve">  Loan Proceeds/(Repayment)</t>
  </si>
  <si>
    <t>Net Cash from Financing</t>
  </si>
  <si>
    <t>NET CHANGE IN CASH</t>
  </si>
  <si>
    <t>Cash - Beginning</t>
  </si>
  <si>
    <t>Cash - Ending</t>
  </si>
  <si>
    <t>Category Wise</t>
  </si>
  <si>
    <t>Supplier</t>
  </si>
  <si>
    <t>Delivery Time</t>
  </si>
  <si>
    <t>Reliability</t>
  </si>
  <si>
    <t>4 star</t>
  </si>
  <si>
    <t>1 week</t>
  </si>
  <si>
    <t>WEEK1</t>
  </si>
  <si>
    <t>WEEK2</t>
  </si>
  <si>
    <t>WEEK3</t>
  </si>
  <si>
    <t>WEEK4</t>
  </si>
  <si>
    <t>WEEK5</t>
  </si>
  <si>
    <t>ORDER (WK) - 4  time to the supplier</t>
  </si>
  <si>
    <t>WEEK6</t>
  </si>
  <si>
    <t>WEEK7</t>
  </si>
  <si>
    <t>WEEK8</t>
  </si>
  <si>
    <t>WEEK9</t>
  </si>
  <si>
    <t>95-100%</t>
  </si>
  <si>
    <t>Final</t>
  </si>
  <si>
    <t>90-95%</t>
  </si>
  <si>
    <t>85-90%</t>
  </si>
  <si>
    <t>Random</t>
  </si>
  <si>
    <t>Instant</t>
  </si>
  <si>
    <t>5 star</t>
  </si>
  <si>
    <t>week1</t>
  </si>
  <si>
    <t>week2</t>
  </si>
  <si>
    <t>week3</t>
  </si>
  <si>
    <t>week4</t>
  </si>
  <si>
    <t>week5</t>
  </si>
  <si>
    <t>week6</t>
  </si>
  <si>
    <t>week7</t>
  </si>
  <si>
    <t>Demand</t>
  </si>
  <si>
    <t>For all products/all category (sum) for round 1</t>
  </si>
  <si>
    <t>week8</t>
  </si>
  <si>
    <t>Actually Sold</t>
  </si>
  <si>
    <t>Starting Inventory</t>
  </si>
  <si>
    <t>New Inventory</t>
  </si>
  <si>
    <t>Total invwnrtory</t>
  </si>
  <si>
    <t>Ending inventory</t>
  </si>
  <si>
    <t>Wasted demand</t>
  </si>
  <si>
    <t>food</t>
  </si>
  <si>
    <t>premium</t>
  </si>
  <si>
    <t>basic</t>
  </si>
  <si>
    <t>electronics</t>
  </si>
  <si>
    <t>actual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</si>
</sst>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0.0"/>
    <numFmt numFmtId="166" formatCode="\$#,##0;&quot;($&quot;#,##0\);\-"/>
    <numFmt numFmtId="167" formatCode="0.0%"/>
    <numFmt numFmtId="168" formatCode="&quot;₹&quot;\ #,##0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name val="Cambria"/>
      <family val="1"/>
    </font>
    <font>
      <sz val="11"/>
      <color rgb="FF0000FF"/>
      <name val="Cambria"/>
      <family val="1"/>
    </font>
    <font>
      <b/>
      <sz val="11"/>
      <name val="Cambria"/>
      <family val="1"/>
    </font>
    <font>
      <b/>
      <sz val="12"/>
      <color rgb="FFFFFFFF"/>
      <name val="Cambria"/>
      <family val="1"/>
    </font>
    <font>
      <i/>
      <sz val="11"/>
      <name val="Cambria"/>
      <family val="1"/>
    </font>
    <font>
      <sz val="11"/>
      <color rgb="FF008000"/>
      <name val="Cambria"/>
      <family val="1"/>
    </font>
    <font>
      <b/>
      <sz val="12"/>
      <name val="Cambria"/>
      <family val="1"/>
    </font>
    <font>
      <b/>
      <i/>
      <sz val="11"/>
      <name val="Cambria"/>
      <family val="1"/>
    </font>
    <font>
      <b/>
      <sz val="11"/>
      <color rgb="FFFF0000"/>
      <name val="Cambria"/>
      <family val="1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E1F2"/>
        <bgColor rgb="FFE7E6E6"/>
      </patternFill>
    </fill>
    <fill>
      <patternFill patternType="solid">
        <fgColor rgb="FF366092"/>
        <bgColor rgb="FF333399"/>
      </patternFill>
    </fill>
    <fill>
      <patternFill patternType="solid">
        <fgColor rgb="FFE7E6E6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7E6E6"/>
      </patternFill>
    </fill>
    <fill>
      <patternFill patternType="solid">
        <fgColor rgb="FFC6E0B4"/>
        <bgColor rgb="FFE2EFDA"/>
      </patternFill>
    </fill>
    <fill>
      <patternFill patternType="solid">
        <fgColor rgb="FFFFC7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</cellStyleXfs>
  <cellXfs count="6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9" fontId="0" fillId="0" borderId="1" xfId="0" applyNumberFormat="1" applyBorder="1"/>
    <xf numFmtId="0" fontId="4" fillId="0" borderId="1" xfId="0" applyFont="1" applyBorder="1"/>
    <xf numFmtId="0" fontId="0" fillId="4" borderId="1" xfId="0" applyFill="1" applyBorder="1"/>
    <xf numFmtId="0" fontId="0" fillId="0" borderId="2" xfId="0" applyBorder="1"/>
    <xf numFmtId="0" fontId="0" fillId="4" borderId="0" xfId="0" applyFill="1"/>
    <xf numFmtId="2" fontId="0" fillId="0" borderId="0" xfId="0" applyNumberFormat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1" fillId="2" borderId="3" xfId="0" applyFont="1" applyFill="1" applyBorder="1"/>
    <xf numFmtId="2" fontId="0" fillId="0" borderId="1" xfId="0" applyNumberFormat="1" applyBorder="1"/>
    <xf numFmtId="9" fontId="0" fillId="5" borderId="1" xfId="0" applyNumberFormat="1" applyFill="1" applyBorder="1"/>
    <xf numFmtId="2" fontId="0" fillId="5" borderId="1" xfId="0" applyNumberFormat="1" applyFill="1" applyBorder="1"/>
    <xf numFmtId="2" fontId="0" fillId="6" borderId="1" xfId="0" applyNumberFormat="1" applyFill="1" applyBorder="1"/>
    <xf numFmtId="0" fontId="0" fillId="7" borderId="1" xfId="0" applyFill="1" applyBorder="1"/>
    <xf numFmtId="0" fontId="0" fillId="7" borderId="0" xfId="0" applyFill="1"/>
    <xf numFmtId="1" fontId="0" fillId="0" borderId="1" xfId="0" applyNumberFormat="1" applyBorder="1"/>
    <xf numFmtId="1" fontId="0" fillId="7" borderId="1" xfId="0" applyNumberFormat="1" applyFill="1" applyBorder="1"/>
    <xf numFmtId="0" fontId="0" fillId="8" borderId="0" xfId="0" applyFill="1"/>
    <xf numFmtId="0" fontId="0" fillId="8" borderId="1" xfId="0" applyFill="1" applyBorder="1"/>
    <xf numFmtId="1" fontId="0" fillId="8" borderId="1" xfId="0" applyNumberFormat="1" applyFill="1" applyBorder="1"/>
    <xf numFmtId="1" fontId="1" fillId="2" borderId="3" xfId="0" applyNumberFormat="1" applyFont="1" applyFill="1" applyBorder="1"/>
    <xf numFmtId="9" fontId="4" fillId="0" borderId="0" xfId="0" applyNumberFormat="1" applyFont="1"/>
    <xf numFmtId="9" fontId="0" fillId="0" borderId="1" xfId="2" applyFont="1" applyBorder="1"/>
    <xf numFmtId="9" fontId="0" fillId="9" borderId="1" xfId="0" applyNumberFormat="1" applyFill="1" applyBorder="1"/>
    <xf numFmtId="2" fontId="1" fillId="2" borderId="3" xfId="0" applyNumberFormat="1" applyFont="1" applyFill="1" applyBorder="1"/>
    <xf numFmtId="165" fontId="0" fillId="0" borderId="1" xfId="0" applyNumberFormat="1" applyBorder="1"/>
    <xf numFmtId="164" fontId="0" fillId="0" borderId="1" xfId="1" applyNumberFormat="1" applyFont="1" applyBorder="1"/>
    <xf numFmtId="164" fontId="4" fillId="0" borderId="1" xfId="0" applyNumberFormat="1" applyFont="1" applyBorder="1"/>
    <xf numFmtId="0" fontId="5" fillId="0" borderId="0" xfId="3"/>
    <xf numFmtId="0" fontId="7" fillId="0" borderId="0" xfId="3" applyFont="1"/>
    <xf numFmtId="166" fontId="7" fillId="0" borderId="0" xfId="3" applyNumberFormat="1" applyFont="1"/>
    <xf numFmtId="167" fontId="7" fillId="0" borderId="0" xfId="3" applyNumberFormat="1" applyFont="1"/>
    <xf numFmtId="0" fontId="10" fillId="0" borderId="0" xfId="3" applyFont="1"/>
    <xf numFmtId="0" fontId="8" fillId="0" borderId="0" xfId="3" applyFont="1"/>
    <xf numFmtId="2" fontId="7" fillId="0" borderId="0" xfId="3" applyNumberFormat="1" applyFont="1"/>
    <xf numFmtId="0" fontId="11" fillId="0" borderId="0" xfId="3" applyFont="1"/>
    <xf numFmtId="0" fontId="8" fillId="12" borderId="0" xfId="3" applyFont="1" applyFill="1"/>
    <xf numFmtId="166" fontId="5" fillId="0" borderId="0" xfId="3" applyNumberFormat="1"/>
    <xf numFmtId="166" fontId="5" fillId="13" borderId="0" xfId="3" applyNumberFormat="1" applyFill="1"/>
    <xf numFmtId="166" fontId="11" fillId="0" borderId="0" xfId="3" applyNumberFormat="1" applyFont="1"/>
    <xf numFmtId="166" fontId="5" fillId="14" borderId="0" xfId="3" applyNumberFormat="1" applyFill="1"/>
    <xf numFmtId="0" fontId="12" fillId="0" borderId="0" xfId="3" applyFont="1"/>
    <xf numFmtId="166" fontId="8" fillId="15" borderId="0" xfId="3" applyNumberFormat="1" applyFont="1" applyFill="1"/>
    <xf numFmtId="0" fontId="13" fillId="0" borderId="0" xfId="3" applyFont="1"/>
    <xf numFmtId="0" fontId="14" fillId="0" borderId="0" xfId="3" applyFont="1"/>
    <xf numFmtId="166" fontId="5" fillId="16" borderId="0" xfId="3" applyNumberFormat="1" applyFill="1"/>
    <xf numFmtId="166" fontId="8" fillId="17" borderId="0" xfId="3" applyNumberFormat="1" applyFont="1" applyFill="1"/>
    <xf numFmtId="168" fontId="7" fillId="0" borderId="0" xfId="3" applyNumberFormat="1" applyFont="1"/>
    <xf numFmtId="168" fontId="8" fillId="0" borderId="0" xfId="3" applyNumberFormat="1" applyFont="1"/>
    <xf numFmtId="0" fontId="0" fillId="7" borderId="4" xfId="0" applyFill="1" applyBorder="1"/>
    <xf numFmtId="0" fontId="0" fillId="8" borderId="4" xfId="0" applyFill="1" applyBorder="1"/>
    <xf numFmtId="0" fontId="6" fillId="0" borderId="0" xfId="3" applyFont="1"/>
    <xf numFmtId="0" fontId="8" fillId="10" borderId="0" xfId="3" applyFont="1" applyFill="1"/>
    <xf numFmtId="0" fontId="9" fillId="11" borderId="0" xfId="3" applyFont="1" applyFill="1" applyAlignment="1">
      <alignment horizontal="center" vertical="center"/>
    </xf>
    <xf numFmtId="0" fontId="4" fillId="0" borderId="0" xfId="0" applyFont="1"/>
    <xf numFmtId="0" fontId="0" fillId="18" borderId="0" xfId="0" applyFill="1"/>
    <xf numFmtId="9" fontId="0" fillId="18" borderId="0" xfId="0" applyNumberFormat="1" applyFill="1"/>
    <xf numFmtId="9" fontId="0" fillId="4" borderId="0" xfId="0" applyNumberFormat="1" applyFill="1"/>
    <xf numFmtId="9" fontId="0" fillId="0" borderId="0" xfId="2" applyFont="1"/>
    <xf numFmtId="0" fontId="15" fillId="18" borderId="0" xfId="0" applyFont="1" applyFill="1"/>
    <xf numFmtId="0" fontId="15" fillId="4" borderId="0" xfId="0" applyFont="1" applyFill="1"/>
  </cellXfs>
  <cellStyles count="4">
    <cellStyle name="Comma" xfId="1" builtinId="3"/>
    <cellStyle name="Normal" xfId="0" builtinId="0"/>
    <cellStyle name="Normal 2" xfId="3" xr:uid="{525CDE0F-DB72-4AD0-B89C-A17C05893445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A701-88CC-43B5-B11C-B55D33E58CF2}">
  <dimension ref="A1:AB184"/>
  <sheetViews>
    <sheetView zoomScale="90" zoomScaleNormal="90" workbookViewId="0">
      <pane ySplit="2" topLeftCell="A24" activePane="bottomLeft" state="frozen"/>
      <selection pane="bottomLeft" activeCell="A36" sqref="A36:E47"/>
    </sheetView>
  </sheetViews>
  <sheetFormatPr defaultRowHeight="15" x14ac:dyDescent="0.25"/>
  <cols>
    <col min="1" max="1" width="22.7109375" bestFit="1" customWidth="1"/>
    <col min="2" max="2" width="20.7109375" bestFit="1" customWidth="1"/>
    <col min="3" max="3" width="14.7109375" bestFit="1" customWidth="1"/>
    <col min="8" max="8" width="8.5703125" bestFit="1" customWidth="1"/>
    <col min="9" max="9" width="8.85546875" bestFit="1" customWidth="1"/>
    <col min="10" max="10" width="8" bestFit="1" customWidth="1"/>
    <col min="22" max="23" width="11.140625" bestFit="1" customWidth="1"/>
    <col min="24" max="25" width="12.140625" bestFit="1" customWidth="1"/>
    <col min="26" max="27" width="11.140625" bestFit="1" customWidth="1"/>
    <col min="28" max="28" width="6" bestFit="1" customWidth="1"/>
  </cols>
  <sheetData>
    <row r="1" spans="1:28" x14ac:dyDescent="0.25">
      <c r="A1" s="1" t="s">
        <v>62</v>
      </c>
      <c r="H1" s="1" t="s">
        <v>69</v>
      </c>
      <c r="I1" s="1" t="s">
        <v>68</v>
      </c>
      <c r="J1" s="1" t="s">
        <v>109</v>
      </c>
      <c r="K1" s="1" t="s">
        <v>110</v>
      </c>
      <c r="L1" s="1" t="s">
        <v>66</v>
      </c>
      <c r="M1" s="1" t="s">
        <v>67</v>
      </c>
      <c r="O1" s="1" t="s">
        <v>44</v>
      </c>
      <c r="V1" s="1" t="s">
        <v>72</v>
      </c>
    </row>
    <row r="2" spans="1:28" x14ac:dyDescent="0.25">
      <c r="A2" s="1" t="s">
        <v>5</v>
      </c>
      <c r="B2" s="1" t="s">
        <v>0</v>
      </c>
      <c r="C2" s="1" t="s">
        <v>86</v>
      </c>
      <c r="D2" s="1" t="s">
        <v>87</v>
      </c>
      <c r="E2" s="1" t="s">
        <v>2</v>
      </c>
      <c r="F2" s="1" t="s">
        <v>3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64</v>
      </c>
      <c r="M2" s="1" t="s">
        <v>65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64</v>
      </c>
      <c r="T2" s="1" t="s">
        <v>65</v>
      </c>
      <c r="V2" s="1" t="s">
        <v>45</v>
      </c>
      <c r="W2" s="1" t="s">
        <v>46</v>
      </c>
      <c r="X2" s="1" t="s">
        <v>47</v>
      </c>
      <c r="Y2" s="1" t="s">
        <v>48</v>
      </c>
      <c r="Z2" s="1" t="s">
        <v>64</v>
      </c>
      <c r="AA2" s="1" t="s">
        <v>65</v>
      </c>
      <c r="AB2" s="1" t="s">
        <v>59</v>
      </c>
    </row>
    <row r="3" spans="1:28" x14ac:dyDescent="0.25">
      <c r="A3" s="2" t="s">
        <v>42</v>
      </c>
      <c r="B3" s="2">
        <v>600</v>
      </c>
      <c r="C3" s="2">
        <v>1250</v>
      </c>
      <c r="D3" s="2">
        <v>1300</v>
      </c>
      <c r="E3" s="2">
        <v>1800</v>
      </c>
      <c r="F3" s="2">
        <f>SUM(B3:E3)</f>
        <v>4950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</row>
    <row r="4" spans="1:28" x14ac:dyDescent="0.25">
      <c r="A4" s="2" t="s">
        <v>43</v>
      </c>
      <c r="B4" s="2">
        <v>700</v>
      </c>
      <c r="C4" s="2">
        <v>800</v>
      </c>
      <c r="D4" s="2">
        <v>700</v>
      </c>
      <c r="E4" s="2">
        <v>900</v>
      </c>
      <c r="F4" s="2">
        <f t="shared" ref="F4:F5" si="0">SUM(B4:E4)</f>
        <v>3100</v>
      </c>
      <c r="H4" s="2">
        <v>1</v>
      </c>
      <c r="I4" s="2">
        <v>1</v>
      </c>
      <c r="J4" s="2">
        <v>1</v>
      </c>
      <c r="K4" s="2"/>
      <c r="L4" s="2">
        <v>1</v>
      </c>
      <c r="M4" s="2"/>
    </row>
    <row r="5" spans="1:28" x14ac:dyDescent="0.25">
      <c r="A5" s="2" t="s">
        <v>63</v>
      </c>
      <c r="B5" s="2">
        <v>200</v>
      </c>
      <c r="C5" s="2">
        <v>500</v>
      </c>
      <c r="D5" s="2">
        <v>700</v>
      </c>
      <c r="E5" s="2">
        <v>1200</v>
      </c>
      <c r="F5" s="2">
        <f t="shared" si="0"/>
        <v>2600</v>
      </c>
      <c r="H5" s="2">
        <v>1</v>
      </c>
      <c r="I5" s="2"/>
      <c r="J5" s="2">
        <v>1</v>
      </c>
      <c r="K5" s="2"/>
      <c r="L5" s="2">
        <v>1</v>
      </c>
      <c r="M5" s="2">
        <v>1</v>
      </c>
    </row>
    <row r="6" spans="1:28" x14ac:dyDescent="0.25">
      <c r="A6" s="3" t="s">
        <v>4</v>
      </c>
      <c r="B6" s="3">
        <f>SUM(B3:B5)</f>
        <v>1500</v>
      </c>
      <c r="C6" s="3">
        <f>SUM(C3:C5)</f>
        <v>2550</v>
      </c>
      <c r="D6" s="3">
        <f>SUM(D3:D5)</f>
        <v>2700</v>
      </c>
      <c r="E6" s="3">
        <f>SUM(E3:E5)</f>
        <v>3900</v>
      </c>
      <c r="F6" s="3">
        <f>SUM(F3:F5)</f>
        <v>10650</v>
      </c>
    </row>
    <row r="9" spans="1:28" x14ac:dyDescent="0.25">
      <c r="A9" s="14" t="s">
        <v>70</v>
      </c>
      <c r="O9" s="1">
        <f t="shared" ref="O9:T9" si="1">SUM(O11:O12)</f>
        <v>115000</v>
      </c>
      <c r="P9" s="1">
        <f t="shared" si="1"/>
        <v>115000</v>
      </c>
      <c r="Q9" s="1">
        <f t="shared" si="1"/>
        <v>115000</v>
      </c>
      <c r="R9" s="1">
        <f t="shared" si="1"/>
        <v>115000</v>
      </c>
      <c r="S9" s="1">
        <f t="shared" si="1"/>
        <v>115000</v>
      </c>
      <c r="T9" s="1">
        <f t="shared" si="1"/>
        <v>115000</v>
      </c>
    </row>
    <row r="10" spans="1:28" x14ac:dyDescent="0.25">
      <c r="A10" s="1" t="s">
        <v>17</v>
      </c>
      <c r="B10" s="1" t="s">
        <v>7</v>
      </c>
      <c r="C10" s="1" t="s">
        <v>6</v>
      </c>
      <c r="D10" s="1" t="s">
        <v>44</v>
      </c>
      <c r="E10" s="1" t="s">
        <v>71</v>
      </c>
      <c r="O10" s="1">
        <f t="shared" ref="O10:T10" si="2">SUM(O13:O17)</f>
        <v>105000</v>
      </c>
      <c r="P10" s="1">
        <f t="shared" si="2"/>
        <v>90000</v>
      </c>
      <c r="Q10" s="1">
        <f t="shared" si="2"/>
        <v>123000</v>
      </c>
      <c r="R10" s="1">
        <f t="shared" si="2"/>
        <v>125000</v>
      </c>
      <c r="S10" s="1">
        <f t="shared" si="2"/>
        <v>123000</v>
      </c>
      <c r="T10" s="1">
        <f t="shared" si="2"/>
        <v>105000</v>
      </c>
      <c r="V10" s="1">
        <f t="shared" ref="V10:AA10" si="3">PRODUCT(V13:V18)</f>
        <v>1.1665500000000002</v>
      </c>
      <c r="W10" s="1">
        <f t="shared" si="3"/>
        <v>1.1352600000000002</v>
      </c>
      <c r="X10" s="1">
        <f t="shared" si="3"/>
        <v>1.1680200000000001</v>
      </c>
      <c r="Y10" s="1">
        <f t="shared" si="3"/>
        <v>1.1684400000000001</v>
      </c>
      <c r="Z10" s="1">
        <f t="shared" si="3"/>
        <v>1.1680200000000001</v>
      </c>
      <c r="AA10" s="1">
        <f t="shared" si="3"/>
        <v>1.1686500000000002</v>
      </c>
    </row>
    <row r="11" spans="1:28" x14ac:dyDescent="0.25">
      <c r="A11" s="2" t="s">
        <v>57</v>
      </c>
      <c r="B11" s="6" t="s">
        <v>76</v>
      </c>
      <c r="C11" s="2"/>
      <c r="D11" s="2">
        <v>30000</v>
      </c>
      <c r="E11" s="2"/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O11" s="2">
        <f t="shared" ref="O11:T11" si="4">H11*$D$11</f>
        <v>90000</v>
      </c>
      <c r="P11" s="2">
        <f t="shared" si="4"/>
        <v>90000</v>
      </c>
      <c r="Q11" s="2">
        <f t="shared" si="4"/>
        <v>90000</v>
      </c>
      <c r="R11" s="2">
        <f t="shared" si="4"/>
        <v>90000</v>
      </c>
      <c r="S11" s="2">
        <f t="shared" si="4"/>
        <v>90000</v>
      </c>
      <c r="T11" s="2">
        <f t="shared" si="4"/>
        <v>90000</v>
      </c>
      <c r="V11" s="2"/>
      <c r="W11" s="2"/>
      <c r="X11" s="2"/>
      <c r="Y11" s="2"/>
      <c r="Z11" s="2"/>
      <c r="AA11" s="2"/>
    </row>
    <row r="12" spans="1:28" x14ac:dyDescent="0.25">
      <c r="A12" s="2" t="s">
        <v>58</v>
      </c>
      <c r="B12" s="6" t="s">
        <v>76</v>
      </c>
      <c r="C12" s="2"/>
      <c r="D12" s="2">
        <v>25000</v>
      </c>
      <c r="E12" s="2"/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O12" s="2">
        <f t="shared" ref="O12:T12" si="5">H12*$D$12</f>
        <v>25000</v>
      </c>
      <c r="P12" s="2">
        <f t="shared" si="5"/>
        <v>25000</v>
      </c>
      <c r="Q12" s="2">
        <f t="shared" si="5"/>
        <v>25000</v>
      </c>
      <c r="R12" s="2">
        <f t="shared" si="5"/>
        <v>25000</v>
      </c>
      <c r="S12" s="2">
        <f t="shared" si="5"/>
        <v>25000</v>
      </c>
      <c r="T12" s="2">
        <f t="shared" si="5"/>
        <v>25000</v>
      </c>
      <c r="V12" s="2"/>
      <c r="W12" s="2"/>
      <c r="X12" s="2"/>
      <c r="Y12" s="2"/>
      <c r="Z12" s="2"/>
      <c r="AA12" s="2"/>
    </row>
    <row r="13" spans="1:28" x14ac:dyDescent="0.25">
      <c r="A13" s="2" t="s">
        <v>18</v>
      </c>
      <c r="B13" s="2"/>
      <c r="C13" s="2">
        <v>1.1000000000000001</v>
      </c>
      <c r="D13" s="2">
        <v>100000</v>
      </c>
      <c r="E13" s="15">
        <f>100000*(C13-1)/D13</f>
        <v>0.10000000000000009</v>
      </c>
      <c r="H13" s="2">
        <v>1</v>
      </c>
      <c r="I13" s="2"/>
      <c r="J13" s="2"/>
      <c r="K13" s="2"/>
      <c r="L13" s="2"/>
      <c r="M13" s="2"/>
      <c r="O13" s="2">
        <f t="shared" ref="O13:T13" si="6">H13*$D13</f>
        <v>100000</v>
      </c>
      <c r="P13" s="2">
        <f t="shared" si="6"/>
        <v>0</v>
      </c>
      <c r="Q13" s="2">
        <f t="shared" si="6"/>
        <v>0</v>
      </c>
      <c r="R13" s="2">
        <f t="shared" si="6"/>
        <v>0</v>
      </c>
      <c r="S13" s="2">
        <f t="shared" si="6"/>
        <v>0</v>
      </c>
      <c r="T13" s="2">
        <f t="shared" si="6"/>
        <v>0</v>
      </c>
      <c r="V13" s="2">
        <f t="shared" ref="V13:AA13" si="7">IF(O13&gt;0,$C13,1)</f>
        <v>1.1000000000000001</v>
      </c>
      <c r="W13" s="2">
        <f t="shared" si="7"/>
        <v>1</v>
      </c>
      <c r="X13" s="2">
        <f t="shared" si="7"/>
        <v>1</v>
      </c>
      <c r="Y13" s="2">
        <f t="shared" si="7"/>
        <v>1</v>
      </c>
      <c r="Z13" s="2">
        <f t="shared" si="7"/>
        <v>1</v>
      </c>
      <c r="AA13" s="2">
        <f t="shared" si="7"/>
        <v>1</v>
      </c>
    </row>
    <row r="14" spans="1:28" x14ac:dyDescent="0.25">
      <c r="A14" s="2" t="s">
        <v>19</v>
      </c>
      <c r="B14" s="2" t="s">
        <v>128</v>
      </c>
      <c r="C14" s="2">
        <v>1.06</v>
      </c>
      <c r="D14" s="2">
        <v>80000</v>
      </c>
      <c r="E14" s="15">
        <f>100000*(C14-1)/D14</f>
        <v>7.5000000000000067E-2</v>
      </c>
      <c r="H14" s="2"/>
      <c r="I14" s="2">
        <v>1</v>
      </c>
      <c r="J14" s="2"/>
      <c r="K14" s="2"/>
      <c r="L14" s="2"/>
      <c r="M14" s="2">
        <v>1</v>
      </c>
      <c r="O14" s="2">
        <f t="shared" ref="O14:O16" si="8">H14*D14</f>
        <v>0</v>
      </c>
      <c r="P14" s="2">
        <f>I14*$D14</f>
        <v>80000</v>
      </c>
      <c r="Q14" s="2">
        <f>J14*$D14</f>
        <v>0</v>
      </c>
      <c r="R14" s="2">
        <f>K14*$D14</f>
        <v>0</v>
      </c>
      <c r="S14" s="2">
        <f>L14*$D14</f>
        <v>0</v>
      </c>
      <c r="T14" s="2">
        <f>M14*$D14</f>
        <v>80000</v>
      </c>
      <c r="V14" s="2">
        <f t="shared" ref="V14:AA16" si="9">IF(O14&gt;0,$C14,1)</f>
        <v>1</v>
      </c>
      <c r="W14" s="2">
        <f t="shared" si="9"/>
        <v>1.06</v>
      </c>
      <c r="X14" s="2">
        <f t="shared" si="9"/>
        <v>1</v>
      </c>
      <c r="Y14" s="2">
        <f t="shared" si="9"/>
        <v>1</v>
      </c>
      <c r="Z14" s="2">
        <f t="shared" si="9"/>
        <v>1</v>
      </c>
      <c r="AA14" s="2">
        <f t="shared" si="9"/>
        <v>1.06</v>
      </c>
    </row>
    <row r="15" spans="1:28" x14ac:dyDescent="0.25">
      <c r="A15" s="2" t="s">
        <v>20</v>
      </c>
      <c r="B15" s="2"/>
      <c r="C15" s="2">
        <v>1.08</v>
      </c>
      <c r="D15" s="2">
        <v>108000</v>
      </c>
      <c r="E15" s="15">
        <f>100000*(C15-1)/D15</f>
        <v>7.4074074074074139E-2</v>
      </c>
      <c r="H15" s="2"/>
      <c r="I15" s="2"/>
      <c r="J15" s="2">
        <v>1</v>
      </c>
      <c r="K15" s="2"/>
      <c r="L15" s="2">
        <v>1</v>
      </c>
      <c r="M15" s="2"/>
      <c r="O15" s="2">
        <f t="shared" si="8"/>
        <v>0</v>
      </c>
      <c r="P15" s="2">
        <f t="shared" ref="P15:T16" si="10">I15*$D15</f>
        <v>0</v>
      </c>
      <c r="Q15" s="2">
        <f t="shared" si="10"/>
        <v>108000</v>
      </c>
      <c r="R15" s="2">
        <f t="shared" si="10"/>
        <v>0</v>
      </c>
      <c r="S15" s="2">
        <f t="shared" si="10"/>
        <v>108000</v>
      </c>
      <c r="T15" s="2">
        <f t="shared" si="10"/>
        <v>0</v>
      </c>
      <c r="V15" s="2">
        <f t="shared" si="9"/>
        <v>1</v>
      </c>
      <c r="W15" s="2">
        <f t="shared" si="9"/>
        <v>1</v>
      </c>
      <c r="X15" s="2">
        <f t="shared" si="9"/>
        <v>1.08</v>
      </c>
      <c r="Y15" s="2">
        <f t="shared" si="9"/>
        <v>1</v>
      </c>
      <c r="Z15" s="2">
        <f t="shared" si="9"/>
        <v>1.08</v>
      </c>
      <c r="AA15" s="2">
        <f t="shared" si="9"/>
        <v>1</v>
      </c>
    </row>
    <row r="16" spans="1:28" x14ac:dyDescent="0.25">
      <c r="A16" s="2" t="s">
        <v>21</v>
      </c>
      <c r="B16" s="2"/>
      <c r="C16" s="2">
        <v>1.07</v>
      </c>
      <c r="D16" s="2">
        <v>105000</v>
      </c>
      <c r="E16" s="15">
        <f>100000*(C16-1)/D16</f>
        <v>6.6666666666666721E-2</v>
      </c>
      <c r="H16" s="2"/>
      <c r="I16" s="2"/>
      <c r="J16" s="2"/>
      <c r="K16" s="2">
        <v>1</v>
      </c>
      <c r="L16" s="2"/>
      <c r="M16" s="2"/>
      <c r="O16" s="2">
        <f t="shared" si="8"/>
        <v>0</v>
      </c>
      <c r="P16" s="2">
        <f t="shared" si="10"/>
        <v>0</v>
      </c>
      <c r="Q16" s="2">
        <f t="shared" si="10"/>
        <v>0</v>
      </c>
      <c r="R16" s="2">
        <f t="shared" si="10"/>
        <v>105000</v>
      </c>
      <c r="S16" s="2">
        <f t="shared" si="10"/>
        <v>0</v>
      </c>
      <c r="T16" s="2">
        <f t="shared" si="10"/>
        <v>0</v>
      </c>
      <c r="V16" s="2">
        <f t="shared" si="9"/>
        <v>1</v>
      </c>
      <c r="W16" s="2">
        <f t="shared" si="9"/>
        <v>1</v>
      </c>
      <c r="X16" s="2">
        <f t="shared" si="9"/>
        <v>1</v>
      </c>
      <c r="Y16" s="2">
        <f t="shared" si="9"/>
        <v>1.07</v>
      </c>
      <c r="Z16" s="2">
        <f t="shared" si="9"/>
        <v>1</v>
      </c>
      <c r="AA16" s="2">
        <f t="shared" si="9"/>
        <v>1</v>
      </c>
    </row>
    <row r="17" spans="1:27" x14ac:dyDescent="0.25">
      <c r="A17" s="10" t="s">
        <v>22</v>
      </c>
      <c r="B17" s="10" t="s">
        <v>73</v>
      </c>
      <c r="C17" s="10">
        <v>0.1</v>
      </c>
      <c r="D17" s="10">
        <v>2</v>
      </c>
      <c r="E17" s="10"/>
      <c r="F17" s="11"/>
      <c r="G17" s="11"/>
      <c r="H17" s="16">
        <v>0.1</v>
      </c>
      <c r="I17" s="16">
        <v>0.2</v>
      </c>
      <c r="J17" s="16">
        <v>0.3</v>
      </c>
      <c r="K17" s="16">
        <v>0.4</v>
      </c>
      <c r="L17" s="16">
        <v>0.3</v>
      </c>
      <c r="M17" s="16">
        <v>0.5</v>
      </c>
      <c r="N17" s="11"/>
      <c r="O17" s="10">
        <f>H17*H12*$D12*$D17</f>
        <v>5000</v>
      </c>
      <c r="P17" s="10">
        <f t="shared" ref="P17:T17" si="11">I17*I12*$D12*$D17</f>
        <v>10000</v>
      </c>
      <c r="Q17" s="10">
        <f t="shared" si="11"/>
        <v>15000</v>
      </c>
      <c r="R17" s="10">
        <f t="shared" si="11"/>
        <v>20000</v>
      </c>
      <c r="S17" s="10">
        <f t="shared" si="11"/>
        <v>15000</v>
      </c>
      <c r="T17" s="10">
        <f t="shared" si="11"/>
        <v>25000</v>
      </c>
      <c r="U17" s="11"/>
      <c r="V17" s="17">
        <f t="shared" ref="V17:AA17" si="12">1+(O17*$C17/($D17*$D12))</f>
        <v>1.01</v>
      </c>
      <c r="W17" s="17">
        <f t="shared" si="12"/>
        <v>1.02</v>
      </c>
      <c r="X17" s="17">
        <f t="shared" si="12"/>
        <v>1.03</v>
      </c>
      <c r="Y17" s="17">
        <f t="shared" si="12"/>
        <v>1.04</v>
      </c>
      <c r="Z17" s="17">
        <f t="shared" si="12"/>
        <v>1.03</v>
      </c>
      <c r="AA17" s="17">
        <f t="shared" si="12"/>
        <v>1.05</v>
      </c>
    </row>
    <row r="18" spans="1:27" x14ac:dyDescent="0.25">
      <c r="A18" s="12" t="s">
        <v>23</v>
      </c>
      <c r="B18" s="12" t="s">
        <v>77</v>
      </c>
      <c r="C18" s="12">
        <v>0.85</v>
      </c>
      <c r="D18" s="12">
        <v>0.95</v>
      </c>
      <c r="E18" s="12">
        <v>1.05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2">
        <f t="shared" ref="V18:AA18" si="13">IF(H11/H12&lt;$C19,$C18,IF(H11/H12&gt;$D19,$D18,$E18))</f>
        <v>1.05</v>
      </c>
      <c r="W18" s="12">
        <f t="shared" si="13"/>
        <v>1.05</v>
      </c>
      <c r="X18" s="12">
        <f t="shared" si="13"/>
        <v>1.05</v>
      </c>
      <c r="Y18" s="12">
        <f t="shared" si="13"/>
        <v>1.05</v>
      </c>
      <c r="Z18" s="12">
        <f t="shared" si="13"/>
        <v>1.05</v>
      </c>
      <c r="AA18" s="12">
        <f t="shared" si="13"/>
        <v>1.05</v>
      </c>
    </row>
    <row r="19" spans="1:27" x14ac:dyDescent="0.25">
      <c r="C19" s="12">
        <v>2.5</v>
      </c>
      <c r="D19" s="12">
        <v>3.5</v>
      </c>
      <c r="E19" s="12"/>
    </row>
    <row r="22" spans="1:27" x14ac:dyDescent="0.25">
      <c r="A22" s="14" t="s">
        <v>74</v>
      </c>
    </row>
    <row r="23" spans="1:27" x14ac:dyDescent="0.25">
      <c r="A23" s="1" t="s">
        <v>8</v>
      </c>
      <c r="B23" s="1" t="s">
        <v>7</v>
      </c>
      <c r="C23" s="1" t="s">
        <v>6</v>
      </c>
      <c r="D23" s="1" t="s">
        <v>44</v>
      </c>
      <c r="E23" s="1" t="s">
        <v>71</v>
      </c>
      <c r="O23" s="1">
        <f>SUM(O24:O31)</f>
        <v>175000</v>
      </c>
      <c r="P23" s="1">
        <f t="shared" ref="P23:T23" si="14">SUM(P24:P31)</f>
        <v>150000</v>
      </c>
      <c r="Q23" s="1">
        <f t="shared" si="14"/>
        <v>213000</v>
      </c>
      <c r="R23" s="1">
        <f t="shared" si="14"/>
        <v>173500</v>
      </c>
      <c r="S23" s="1">
        <f t="shared" si="14"/>
        <v>305000</v>
      </c>
      <c r="T23" s="1">
        <f t="shared" si="14"/>
        <v>155000</v>
      </c>
      <c r="V23" s="1">
        <f t="shared" ref="V23:AA23" si="15">PRODUCT(V24:V32)</f>
        <v>1.0660499999999999</v>
      </c>
      <c r="W23" s="1">
        <f t="shared" si="15"/>
        <v>1.0112400000000001</v>
      </c>
      <c r="X23" s="1">
        <f t="shared" si="15"/>
        <v>1.1772000000000002</v>
      </c>
      <c r="Y23" s="1">
        <f t="shared" si="15"/>
        <v>1.02078</v>
      </c>
      <c r="Z23" s="1">
        <f t="shared" si="15"/>
        <v>1.2940480000000003</v>
      </c>
      <c r="AA23" s="1">
        <f t="shared" si="15"/>
        <v>1.0382400000000003</v>
      </c>
    </row>
    <row r="24" spans="1:27" x14ac:dyDescent="0.25">
      <c r="A24" s="2" t="s">
        <v>9</v>
      </c>
      <c r="B24" s="2" t="s">
        <v>129</v>
      </c>
      <c r="C24" s="2">
        <v>1.1499999999999999</v>
      </c>
      <c r="D24" s="2">
        <v>140000</v>
      </c>
      <c r="E24" s="15">
        <f>100000*(C24-1)/D24</f>
        <v>0.10714285714285708</v>
      </c>
      <c r="H24" s="2">
        <v>1</v>
      </c>
      <c r="I24" s="2"/>
      <c r="J24" s="2"/>
      <c r="K24" s="2"/>
      <c r="L24" s="2"/>
      <c r="M24" s="2"/>
      <c r="O24" s="2">
        <f t="shared" ref="O24:T24" si="16">H24*$D24</f>
        <v>140000</v>
      </c>
      <c r="P24" s="2">
        <f t="shared" si="16"/>
        <v>0</v>
      </c>
      <c r="Q24" s="2">
        <f t="shared" si="16"/>
        <v>0</v>
      </c>
      <c r="R24" s="2">
        <f t="shared" si="16"/>
        <v>0</v>
      </c>
      <c r="S24" s="2">
        <f t="shared" si="16"/>
        <v>0</v>
      </c>
      <c r="T24" s="2">
        <f t="shared" si="16"/>
        <v>0</v>
      </c>
      <c r="V24" s="2">
        <f t="shared" ref="V24:AA24" si="17">IF(O24&gt;0,$C24,1)</f>
        <v>1.1499999999999999</v>
      </c>
      <c r="W24" s="2">
        <f t="shared" si="17"/>
        <v>1</v>
      </c>
      <c r="X24" s="2">
        <f t="shared" si="17"/>
        <v>1</v>
      </c>
      <c r="Y24" s="2">
        <f t="shared" si="17"/>
        <v>1</v>
      </c>
      <c r="Z24" s="2">
        <f t="shared" si="17"/>
        <v>1</v>
      </c>
      <c r="AA24" s="2">
        <f t="shared" si="17"/>
        <v>1</v>
      </c>
    </row>
    <row r="25" spans="1:27" x14ac:dyDescent="0.25">
      <c r="A25" s="2" t="s">
        <v>10</v>
      </c>
      <c r="B25" s="2" t="s">
        <v>128</v>
      </c>
      <c r="C25" s="2">
        <v>1.06</v>
      </c>
      <c r="D25" s="2">
        <v>80000</v>
      </c>
      <c r="E25" s="15">
        <f t="shared" ref="E25:E30" si="18">100000*(C25-1)/D25</f>
        <v>7.5000000000000067E-2</v>
      </c>
      <c r="H25" s="2"/>
      <c r="I25" s="2">
        <v>1</v>
      </c>
      <c r="J25" s="2"/>
      <c r="K25" s="2"/>
      <c r="L25" s="2"/>
      <c r="M25" s="2"/>
      <c r="O25" s="2">
        <f t="shared" ref="O25:T31" si="19">H25*$D25</f>
        <v>0</v>
      </c>
      <c r="P25" s="2">
        <f t="shared" si="19"/>
        <v>80000</v>
      </c>
      <c r="Q25" s="2">
        <f t="shared" si="19"/>
        <v>0</v>
      </c>
      <c r="R25" s="2">
        <f t="shared" si="19"/>
        <v>0</v>
      </c>
      <c r="S25" s="2">
        <f t="shared" si="19"/>
        <v>0</v>
      </c>
      <c r="T25" s="2">
        <f t="shared" si="19"/>
        <v>0</v>
      </c>
      <c r="V25" s="2">
        <f t="shared" ref="V25:AA30" si="20">IF(O25&gt;0,$C25,1)</f>
        <v>1</v>
      </c>
      <c r="W25" s="2">
        <f t="shared" si="20"/>
        <v>1.06</v>
      </c>
      <c r="X25" s="2">
        <f t="shared" si="20"/>
        <v>1</v>
      </c>
      <c r="Y25" s="2">
        <f t="shared" si="20"/>
        <v>1</v>
      </c>
      <c r="Z25" s="2">
        <f t="shared" si="20"/>
        <v>1</v>
      </c>
      <c r="AA25" s="2">
        <f t="shared" si="20"/>
        <v>1</v>
      </c>
    </row>
    <row r="26" spans="1:27" x14ac:dyDescent="0.25">
      <c r="A26" s="2" t="s">
        <v>11</v>
      </c>
      <c r="B26" s="2"/>
      <c r="C26" s="2">
        <v>1.08</v>
      </c>
      <c r="D26" s="2">
        <v>108000</v>
      </c>
      <c r="E26" s="15">
        <f t="shared" si="18"/>
        <v>7.4074074074074139E-2</v>
      </c>
      <c r="H26" s="2"/>
      <c r="I26" s="2"/>
      <c r="J26" s="2">
        <v>1</v>
      </c>
      <c r="K26" s="2"/>
      <c r="L26" s="2"/>
      <c r="M26" s="2"/>
      <c r="O26" s="2">
        <f t="shared" si="19"/>
        <v>0</v>
      </c>
      <c r="P26" s="2">
        <f t="shared" si="19"/>
        <v>0</v>
      </c>
      <c r="Q26" s="2">
        <f t="shared" si="19"/>
        <v>108000</v>
      </c>
      <c r="R26" s="2">
        <f t="shared" si="19"/>
        <v>0</v>
      </c>
      <c r="S26" s="2">
        <f t="shared" si="19"/>
        <v>0</v>
      </c>
      <c r="T26" s="2">
        <f t="shared" si="19"/>
        <v>0</v>
      </c>
      <c r="V26" s="2">
        <f t="shared" si="20"/>
        <v>1</v>
      </c>
      <c r="W26" s="2">
        <f t="shared" si="20"/>
        <v>1</v>
      </c>
      <c r="X26" s="2">
        <f t="shared" si="20"/>
        <v>1.08</v>
      </c>
      <c r="Y26" s="2">
        <f t="shared" si="20"/>
        <v>1</v>
      </c>
      <c r="Z26" s="2">
        <f t="shared" si="20"/>
        <v>1</v>
      </c>
      <c r="AA26" s="2">
        <f t="shared" si="20"/>
        <v>1</v>
      </c>
    </row>
    <row r="27" spans="1:27" x14ac:dyDescent="0.25">
      <c r="A27" s="2" t="s">
        <v>12</v>
      </c>
      <c r="B27" s="2"/>
      <c r="C27" s="2">
        <v>1.07</v>
      </c>
      <c r="D27" s="2">
        <v>103500</v>
      </c>
      <c r="E27" s="15">
        <f t="shared" si="18"/>
        <v>6.7632850241545958E-2</v>
      </c>
      <c r="H27" s="2"/>
      <c r="I27" s="2"/>
      <c r="J27" s="2"/>
      <c r="K27" s="2">
        <v>1</v>
      </c>
      <c r="L27" s="2"/>
      <c r="M27" s="2"/>
      <c r="O27" s="2">
        <f t="shared" si="19"/>
        <v>0</v>
      </c>
      <c r="P27" s="2">
        <f t="shared" si="19"/>
        <v>0</v>
      </c>
      <c r="Q27" s="2">
        <f t="shared" si="19"/>
        <v>0</v>
      </c>
      <c r="R27" s="2">
        <f t="shared" si="19"/>
        <v>103500</v>
      </c>
      <c r="S27" s="2">
        <f t="shared" si="19"/>
        <v>0</v>
      </c>
      <c r="T27" s="2">
        <f t="shared" si="19"/>
        <v>0</v>
      </c>
      <c r="V27" s="2">
        <f t="shared" si="20"/>
        <v>1</v>
      </c>
      <c r="W27" s="2">
        <f t="shared" si="20"/>
        <v>1</v>
      </c>
      <c r="X27" s="2">
        <f t="shared" si="20"/>
        <v>1</v>
      </c>
      <c r="Y27" s="2">
        <f t="shared" si="20"/>
        <v>1.07</v>
      </c>
      <c r="Z27" s="2">
        <f t="shared" si="20"/>
        <v>1</v>
      </c>
      <c r="AA27" s="2">
        <f t="shared" si="20"/>
        <v>1</v>
      </c>
    </row>
    <row r="28" spans="1:27" x14ac:dyDescent="0.25">
      <c r="A28" s="2" t="s">
        <v>13</v>
      </c>
      <c r="B28" s="2"/>
      <c r="C28" s="2">
        <v>1.1200000000000001</v>
      </c>
      <c r="D28" s="2">
        <v>120000</v>
      </c>
      <c r="E28" s="15">
        <f t="shared" si="18"/>
        <v>0.10000000000000009</v>
      </c>
      <c r="H28" s="2"/>
      <c r="I28" s="2"/>
      <c r="J28" s="2"/>
      <c r="K28" s="2"/>
      <c r="L28" s="2">
        <v>1</v>
      </c>
      <c r="M28" s="2"/>
      <c r="O28" s="2">
        <f t="shared" si="19"/>
        <v>0</v>
      </c>
      <c r="P28" s="2">
        <f t="shared" si="19"/>
        <v>0</v>
      </c>
      <c r="Q28" s="2">
        <f t="shared" si="19"/>
        <v>0</v>
      </c>
      <c r="R28" s="2">
        <f t="shared" si="19"/>
        <v>0</v>
      </c>
      <c r="S28" s="2">
        <f t="shared" si="19"/>
        <v>120000</v>
      </c>
      <c r="T28" s="2">
        <f t="shared" si="19"/>
        <v>0</v>
      </c>
      <c r="V28" s="2">
        <f t="shared" si="20"/>
        <v>1</v>
      </c>
      <c r="W28" s="2">
        <f t="shared" si="20"/>
        <v>1</v>
      </c>
      <c r="X28" s="2">
        <f t="shared" si="20"/>
        <v>1</v>
      </c>
      <c r="Y28" s="2">
        <f t="shared" si="20"/>
        <v>1</v>
      </c>
      <c r="Z28" s="2">
        <f t="shared" si="20"/>
        <v>1.1200000000000001</v>
      </c>
      <c r="AA28" s="2">
        <f t="shared" si="20"/>
        <v>1</v>
      </c>
    </row>
    <row r="29" spans="1:27" x14ac:dyDescent="0.25">
      <c r="A29" s="2" t="s">
        <v>14</v>
      </c>
      <c r="B29" s="2"/>
      <c r="C29" s="2">
        <v>1.1200000000000001</v>
      </c>
      <c r="D29" s="2">
        <v>120000</v>
      </c>
      <c r="E29" s="15">
        <f t="shared" si="18"/>
        <v>0.10000000000000009</v>
      </c>
      <c r="H29" s="2"/>
      <c r="I29" s="2"/>
      <c r="J29" s="2"/>
      <c r="K29" s="2"/>
      <c r="L29" s="2"/>
      <c r="M29" s="2">
        <v>1</v>
      </c>
      <c r="O29" s="2">
        <f t="shared" si="19"/>
        <v>0</v>
      </c>
      <c r="P29" s="2">
        <f t="shared" si="19"/>
        <v>0</v>
      </c>
      <c r="Q29" s="2">
        <f t="shared" si="19"/>
        <v>0</v>
      </c>
      <c r="R29" s="2">
        <f t="shared" si="19"/>
        <v>0</v>
      </c>
      <c r="S29" s="2">
        <f t="shared" si="19"/>
        <v>0</v>
      </c>
      <c r="T29" s="2">
        <f t="shared" si="19"/>
        <v>120000</v>
      </c>
      <c r="V29" s="2">
        <f t="shared" si="20"/>
        <v>1</v>
      </c>
      <c r="W29" s="2">
        <f t="shared" si="20"/>
        <v>1</v>
      </c>
      <c r="X29" s="2">
        <f t="shared" si="20"/>
        <v>1</v>
      </c>
      <c r="Y29" s="2">
        <f t="shared" si="20"/>
        <v>1</v>
      </c>
      <c r="Z29" s="2">
        <f t="shared" si="20"/>
        <v>1</v>
      </c>
      <c r="AA29" s="2">
        <f t="shared" si="20"/>
        <v>1.1200000000000001</v>
      </c>
    </row>
    <row r="30" spans="1:27" x14ac:dyDescent="0.25">
      <c r="A30" s="2" t="s">
        <v>15</v>
      </c>
      <c r="B30" s="2"/>
      <c r="C30" s="2">
        <v>1.06</v>
      </c>
      <c r="D30" s="2">
        <v>80000</v>
      </c>
      <c r="E30" s="15">
        <f t="shared" si="18"/>
        <v>7.5000000000000067E-2</v>
      </c>
      <c r="H30" s="2"/>
      <c r="I30" s="2"/>
      <c r="J30" s="2"/>
      <c r="K30" s="2"/>
      <c r="L30" s="2">
        <v>1</v>
      </c>
      <c r="M30" s="2"/>
      <c r="O30" s="2">
        <f t="shared" si="19"/>
        <v>0</v>
      </c>
      <c r="P30" s="2">
        <f t="shared" si="19"/>
        <v>0</v>
      </c>
      <c r="Q30" s="2">
        <f t="shared" si="19"/>
        <v>0</v>
      </c>
      <c r="R30" s="2">
        <f t="shared" si="19"/>
        <v>0</v>
      </c>
      <c r="S30" s="2">
        <f t="shared" si="19"/>
        <v>80000</v>
      </c>
      <c r="T30" s="2">
        <f t="shared" si="19"/>
        <v>0</v>
      </c>
      <c r="V30" s="2">
        <f t="shared" si="20"/>
        <v>1</v>
      </c>
      <c r="W30" s="2">
        <f t="shared" si="20"/>
        <v>1</v>
      </c>
      <c r="X30" s="2">
        <f t="shared" si="20"/>
        <v>1</v>
      </c>
      <c r="Y30" s="2">
        <f t="shared" si="20"/>
        <v>1</v>
      </c>
      <c r="Z30" s="2">
        <f t="shared" si="20"/>
        <v>1.06</v>
      </c>
      <c r="AA30" s="2">
        <f t="shared" si="20"/>
        <v>1</v>
      </c>
    </row>
    <row r="31" spans="1:27" x14ac:dyDescent="0.25">
      <c r="A31" s="2" t="s">
        <v>16</v>
      </c>
      <c r="B31" s="6" t="s">
        <v>76</v>
      </c>
      <c r="C31" s="2">
        <v>0.03</v>
      </c>
      <c r="D31" s="2">
        <v>35000</v>
      </c>
      <c r="E31" s="15">
        <f>100000*(C31)/D31</f>
        <v>8.5714285714285715E-2</v>
      </c>
      <c r="H31" s="2">
        <v>1</v>
      </c>
      <c r="I31" s="2">
        <v>2</v>
      </c>
      <c r="J31" s="2">
        <v>3</v>
      </c>
      <c r="K31" s="2">
        <v>2</v>
      </c>
      <c r="L31" s="2">
        <v>3</v>
      </c>
      <c r="M31" s="2">
        <v>1</v>
      </c>
      <c r="O31" s="2">
        <f t="shared" si="19"/>
        <v>35000</v>
      </c>
      <c r="P31" s="2">
        <f t="shared" si="19"/>
        <v>70000</v>
      </c>
      <c r="Q31" s="2">
        <f t="shared" si="19"/>
        <v>105000</v>
      </c>
      <c r="R31" s="2">
        <f t="shared" si="19"/>
        <v>70000</v>
      </c>
      <c r="S31" s="2">
        <f t="shared" si="19"/>
        <v>105000</v>
      </c>
      <c r="T31" s="2">
        <f t="shared" si="19"/>
        <v>35000</v>
      </c>
      <c r="V31" s="7">
        <f t="shared" ref="V31:AA31" si="21">1+(O31*$C31/$D31)</f>
        <v>1.03</v>
      </c>
      <c r="W31" s="7">
        <f t="shared" si="21"/>
        <v>1.06</v>
      </c>
      <c r="X31" s="7">
        <f t="shared" si="21"/>
        <v>1.0900000000000001</v>
      </c>
      <c r="Y31" s="7">
        <f t="shared" si="21"/>
        <v>1.06</v>
      </c>
      <c r="Z31" s="7">
        <f t="shared" si="21"/>
        <v>1.0900000000000001</v>
      </c>
      <c r="AA31" s="7">
        <f t="shared" si="21"/>
        <v>1.03</v>
      </c>
    </row>
    <row r="32" spans="1:27" x14ac:dyDescent="0.25">
      <c r="A32" s="12" t="s">
        <v>75</v>
      </c>
      <c r="B32" s="12" t="s">
        <v>73</v>
      </c>
      <c r="C32" s="12">
        <v>0.9</v>
      </c>
      <c r="D32" s="12">
        <v>1</v>
      </c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2">
        <f t="shared" ref="V32:AA32" si="22">IF(O23&lt;AVERAGE($O$23:$T$23),$C32,$D32)</f>
        <v>0.9</v>
      </c>
      <c r="W32" s="12">
        <f t="shared" si="22"/>
        <v>0.9</v>
      </c>
      <c r="X32" s="12">
        <f t="shared" si="22"/>
        <v>1</v>
      </c>
      <c r="Y32" s="12">
        <f t="shared" si="22"/>
        <v>0.9</v>
      </c>
      <c r="Z32" s="12">
        <f t="shared" si="22"/>
        <v>1</v>
      </c>
      <c r="AA32" s="12">
        <f t="shared" si="22"/>
        <v>0.9</v>
      </c>
    </row>
    <row r="36" spans="1:5" x14ac:dyDescent="0.25">
      <c r="A36" s="14" t="s">
        <v>78</v>
      </c>
    </row>
    <row r="37" spans="1:5" x14ac:dyDescent="0.25">
      <c r="A37" s="1" t="s">
        <v>24</v>
      </c>
      <c r="B37" s="1" t="s">
        <v>7</v>
      </c>
      <c r="C37" s="1" t="s">
        <v>6</v>
      </c>
      <c r="D37" s="1" t="s">
        <v>44</v>
      </c>
      <c r="E37" s="1" t="s">
        <v>71</v>
      </c>
    </row>
    <row r="38" spans="1:5" x14ac:dyDescent="0.25">
      <c r="A38" s="2" t="s">
        <v>52</v>
      </c>
      <c r="B38" s="2" t="s">
        <v>0</v>
      </c>
      <c r="C38" s="2">
        <v>1.2</v>
      </c>
      <c r="D38" s="2"/>
      <c r="E38" s="2"/>
    </row>
    <row r="39" spans="1:5" x14ac:dyDescent="0.25">
      <c r="A39" s="2" t="s">
        <v>53</v>
      </c>
      <c r="B39" s="2" t="s">
        <v>0</v>
      </c>
      <c r="C39" s="2">
        <v>1.1000000000000001</v>
      </c>
      <c r="D39" s="2"/>
      <c r="E39" s="2"/>
    </row>
    <row r="40" spans="1:5" x14ac:dyDescent="0.25">
      <c r="A40" s="2" t="s">
        <v>54</v>
      </c>
      <c r="B40" s="2" t="s">
        <v>0</v>
      </c>
      <c r="C40" s="2">
        <v>1</v>
      </c>
      <c r="D40" s="2"/>
      <c r="E40" s="2"/>
    </row>
    <row r="41" spans="1:5" x14ac:dyDescent="0.25">
      <c r="A41" s="2" t="s">
        <v>55</v>
      </c>
      <c r="B41" s="2" t="s">
        <v>0</v>
      </c>
      <c r="C41" s="2">
        <v>0.95</v>
      </c>
      <c r="D41" s="2"/>
      <c r="E41" s="2"/>
    </row>
    <row r="42" spans="1:5" x14ac:dyDescent="0.25">
      <c r="A42" s="2" t="s">
        <v>56</v>
      </c>
      <c r="B42" s="2" t="s">
        <v>0</v>
      </c>
      <c r="C42" s="2">
        <v>0.9</v>
      </c>
      <c r="D42" s="2"/>
      <c r="E42" s="2"/>
    </row>
    <row r="43" spans="1:5" x14ac:dyDescent="0.25">
      <c r="A43" s="2" t="s">
        <v>52</v>
      </c>
      <c r="B43" s="2" t="s">
        <v>1</v>
      </c>
      <c r="C43" s="2">
        <v>1.1000000000000001</v>
      </c>
      <c r="D43" s="2"/>
      <c r="E43" s="2"/>
    </row>
    <row r="44" spans="1:5" x14ac:dyDescent="0.25">
      <c r="A44" s="2" t="s">
        <v>53</v>
      </c>
      <c r="B44" s="2" t="s">
        <v>1</v>
      </c>
      <c r="C44" s="2">
        <v>1.1000000000000001</v>
      </c>
      <c r="D44" s="2"/>
      <c r="E44" s="2"/>
    </row>
    <row r="45" spans="1:5" x14ac:dyDescent="0.25">
      <c r="A45" s="2" t="s">
        <v>54</v>
      </c>
      <c r="B45" s="2" t="s">
        <v>1</v>
      </c>
      <c r="C45" s="2">
        <v>1.1000000000000001</v>
      </c>
      <c r="D45" s="2"/>
      <c r="E45" s="2"/>
    </row>
    <row r="46" spans="1:5" x14ac:dyDescent="0.25">
      <c r="A46" s="2" t="s">
        <v>55</v>
      </c>
      <c r="B46" s="2" t="s">
        <v>1</v>
      </c>
      <c r="C46" s="2">
        <v>1</v>
      </c>
      <c r="D46" s="2"/>
      <c r="E46" s="2"/>
    </row>
    <row r="47" spans="1:5" x14ac:dyDescent="0.25">
      <c r="A47" s="2" t="s">
        <v>56</v>
      </c>
      <c r="B47" s="2" t="s">
        <v>1</v>
      </c>
      <c r="C47" s="2">
        <v>0.95</v>
      </c>
      <c r="D47" s="2"/>
      <c r="E47" s="2"/>
    </row>
    <row r="50" spans="1:27" x14ac:dyDescent="0.25">
      <c r="A50" s="14" t="s">
        <v>79</v>
      </c>
    </row>
    <row r="51" spans="1:27" x14ac:dyDescent="0.25">
      <c r="A51" s="1" t="s">
        <v>25</v>
      </c>
      <c r="B51" s="1" t="s">
        <v>7</v>
      </c>
      <c r="C51" s="1" t="s">
        <v>6</v>
      </c>
      <c r="D51" s="1" t="s">
        <v>44</v>
      </c>
      <c r="E51" s="1" t="s">
        <v>71</v>
      </c>
      <c r="O51" s="1">
        <f t="shared" ref="O51:T51" si="23">SUM(O52:O63)</f>
        <v>165000</v>
      </c>
      <c r="P51" s="1">
        <f t="shared" si="23"/>
        <v>360000</v>
      </c>
      <c r="Q51" s="1">
        <f t="shared" si="23"/>
        <v>355000</v>
      </c>
      <c r="R51" s="1">
        <f t="shared" si="23"/>
        <v>320000</v>
      </c>
      <c r="S51" s="1">
        <f t="shared" si="23"/>
        <v>306000</v>
      </c>
      <c r="T51" s="1">
        <f t="shared" si="23"/>
        <v>190000</v>
      </c>
      <c r="V51" s="14">
        <f t="shared" ref="V51:AA51" si="24">PRODUCT(V52:V64)</f>
        <v>1.0487232000000002</v>
      </c>
      <c r="W51" s="14">
        <f t="shared" si="24"/>
        <v>1.4055392</v>
      </c>
      <c r="X51" s="14">
        <f t="shared" si="24"/>
        <v>1.3681504800000002</v>
      </c>
      <c r="Y51" s="14">
        <f t="shared" si="24"/>
        <v>1.3222310400000004</v>
      </c>
      <c r="Z51" s="14">
        <f t="shared" si="24"/>
        <v>1.3173888</v>
      </c>
      <c r="AA51" s="14">
        <f t="shared" si="24"/>
        <v>1.0616112000000002</v>
      </c>
    </row>
    <row r="52" spans="1:27" x14ac:dyDescent="0.25">
      <c r="A52" s="2" t="s">
        <v>26</v>
      </c>
      <c r="B52" s="6" t="s">
        <v>76</v>
      </c>
      <c r="C52" s="2">
        <v>0.02</v>
      </c>
      <c r="D52" s="2">
        <v>25000</v>
      </c>
      <c r="E52" s="15">
        <f>100000*(C52)/D52</f>
        <v>0.08</v>
      </c>
      <c r="H52" s="2">
        <v>1</v>
      </c>
      <c r="I52" s="2">
        <v>2</v>
      </c>
      <c r="J52" s="2">
        <v>3</v>
      </c>
      <c r="K52" s="2">
        <v>4</v>
      </c>
      <c r="L52" s="2">
        <v>2</v>
      </c>
      <c r="M52" s="2">
        <v>2</v>
      </c>
      <c r="O52" s="2">
        <f t="shared" ref="O52:T52" si="25">H52*$D52</f>
        <v>25000</v>
      </c>
      <c r="P52" s="2">
        <f t="shared" si="25"/>
        <v>50000</v>
      </c>
      <c r="Q52" s="2">
        <f t="shared" si="25"/>
        <v>75000</v>
      </c>
      <c r="R52" s="2">
        <f t="shared" si="25"/>
        <v>100000</v>
      </c>
      <c r="S52" s="2">
        <f t="shared" si="25"/>
        <v>50000</v>
      </c>
      <c r="T52" s="2">
        <f t="shared" si="25"/>
        <v>50000</v>
      </c>
      <c r="V52" s="2">
        <f t="shared" ref="V52:AA53" si="26">1+(O52*$C52/$D52)</f>
        <v>1.02</v>
      </c>
      <c r="W52" s="2">
        <f t="shared" si="26"/>
        <v>1.04</v>
      </c>
      <c r="X52" s="2">
        <f t="shared" si="26"/>
        <v>1.06</v>
      </c>
      <c r="Y52" s="2">
        <f t="shared" si="26"/>
        <v>1.08</v>
      </c>
      <c r="Z52" s="2">
        <f t="shared" si="26"/>
        <v>1.04</v>
      </c>
      <c r="AA52" s="2">
        <f t="shared" si="26"/>
        <v>1.04</v>
      </c>
    </row>
    <row r="53" spans="1:27" x14ac:dyDescent="0.25">
      <c r="A53" s="2" t="s">
        <v>27</v>
      </c>
      <c r="B53" s="6" t="s">
        <v>76</v>
      </c>
      <c r="C53" s="2">
        <v>0.02</v>
      </c>
      <c r="D53" s="2">
        <v>20000</v>
      </c>
      <c r="E53" s="15">
        <f>100000*(C53)/D53</f>
        <v>0.1</v>
      </c>
      <c r="H53" s="2">
        <v>1</v>
      </c>
      <c r="I53" s="2">
        <v>2</v>
      </c>
      <c r="J53" s="2">
        <v>1</v>
      </c>
      <c r="K53" s="2">
        <v>2</v>
      </c>
      <c r="L53" s="2">
        <v>2</v>
      </c>
      <c r="M53" s="2">
        <v>3</v>
      </c>
      <c r="O53" s="2">
        <f t="shared" ref="O53:T63" si="27">H53*$D53</f>
        <v>20000</v>
      </c>
      <c r="P53" s="2">
        <f t="shared" si="27"/>
        <v>40000</v>
      </c>
      <c r="Q53" s="2">
        <f t="shared" si="27"/>
        <v>20000</v>
      </c>
      <c r="R53" s="2">
        <f t="shared" si="27"/>
        <v>40000</v>
      </c>
      <c r="S53" s="2">
        <f t="shared" si="27"/>
        <v>40000</v>
      </c>
      <c r="T53" s="2">
        <f t="shared" si="27"/>
        <v>60000</v>
      </c>
      <c r="V53" s="2">
        <f t="shared" si="26"/>
        <v>1.02</v>
      </c>
      <c r="W53" s="2">
        <f t="shared" si="26"/>
        <v>1.04</v>
      </c>
      <c r="X53" s="2">
        <f t="shared" si="26"/>
        <v>1.02</v>
      </c>
      <c r="Y53" s="2">
        <f t="shared" si="26"/>
        <v>1.04</v>
      </c>
      <c r="Z53" s="2">
        <f t="shared" si="26"/>
        <v>1.04</v>
      </c>
      <c r="AA53" s="2">
        <f t="shared" si="26"/>
        <v>1.06</v>
      </c>
    </row>
    <row r="54" spans="1:27" x14ac:dyDescent="0.25">
      <c r="A54" s="2" t="s">
        <v>28</v>
      </c>
      <c r="B54" s="2"/>
      <c r="C54" s="2">
        <v>1.1200000000000001</v>
      </c>
      <c r="D54" s="2">
        <v>120000</v>
      </c>
      <c r="E54" s="15">
        <f t="shared" ref="E54:E63" si="28">100000*(C54-1)/D54</f>
        <v>0.10000000000000009</v>
      </c>
      <c r="H54" s="2">
        <v>1</v>
      </c>
      <c r="I54" s="2"/>
      <c r="J54" s="2"/>
      <c r="K54" s="2"/>
      <c r="L54" s="2"/>
      <c r="M54" s="2"/>
      <c r="O54" s="2">
        <f t="shared" si="27"/>
        <v>120000</v>
      </c>
      <c r="P54" s="2">
        <f t="shared" si="27"/>
        <v>0</v>
      </c>
      <c r="Q54" s="2">
        <f t="shared" si="27"/>
        <v>0</v>
      </c>
      <c r="R54" s="2">
        <f t="shared" si="27"/>
        <v>0</v>
      </c>
      <c r="S54" s="2">
        <f t="shared" si="27"/>
        <v>0</v>
      </c>
      <c r="T54" s="2">
        <f t="shared" si="27"/>
        <v>0</v>
      </c>
      <c r="V54" s="2">
        <f t="shared" ref="V54:AA54" si="29">IF(O54&gt;0,$C54,1)</f>
        <v>1.1200000000000001</v>
      </c>
      <c r="W54" s="2">
        <f t="shared" si="29"/>
        <v>1</v>
      </c>
      <c r="X54" s="2">
        <f t="shared" si="29"/>
        <v>1</v>
      </c>
      <c r="Y54" s="2">
        <f t="shared" si="29"/>
        <v>1</v>
      </c>
      <c r="Z54" s="2">
        <f t="shared" si="29"/>
        <v>1</v>
      </c>
      <c r="AA54" s="2">
        <f t="shared" si="29"/>
        <v>1</v>
      </c>
    </row>
    <row r="55" spans="1:27" x14ac:dyDescent="0.25">
      <c r="A55" s="2" t="s">
        <v>29</v>
      </c>
      <c r="B55" s="2" t="s">
        <v>130</v>
      </c>
      <c r="C55" s="2">
        <v>1.1499999999999999</v>
      </c>
      <c r="D55" s="2">
        <v>150000</v>
      </c>
      <c r="E55" s="15">
        <f t="shared" si="28"/>
        <v>9.9999999999999936E-2</v>
      </c>
      <c r="H55" s="2"/>
      <c r="I55" s="2">
        <v>1</v>
      </c>
      <c r="J55" s="2"/>
      <c r="K55" s="2"/>
      <c r="L55" s="2"/>
      <c r="M55" s="2"/>
      <c r="O55" s="2">
        <f t="shared" si="27"/>
        <v>0</v>
      </c>
      <c r="P55" s="2">
        <f t="shared" si="27"/>
        <v>150000</v>
      </c>
      <c r="Q55" s="2">
        <f t="shared" si="27"/>
        <v>0</v>
      </c>
      <c r="R55" s="2">
        <f t="shared" si="27"/>
        <v>0</v>
      </c>
      <c r="S55" s="2">
        <f t="shared" si="27"/>
        <v>0</v>
      </c>
      <c r="T55" s="2">
        <f t="shared" si="27"/>
        <v>0</v>
      </c>
      <c r="V55" s="2">
        <f t="shared" ref="V55:AA63" si="30">IF(O55&gt;0,$C55,1)</f>
        <v>1</v>
      </c>
      <c r="W55" s="2">
        <f t="shared" si="30"/>
        <v>1.1499999999999999</v>
      </c>
      <c r="X55" s="2">
        <f t="shared" si="30"/>
        <v>1</v>
      </c>
      <c r="Y55" s="2">
        <f t="shared" si="30"/>
        <v>1</v>
      </c>
      <c r="Z55" s="2">
        <f t="shared" si="30"/>
        <v>1</v>
      </c>
      <c r="AA55" s="2">
        <f t="shared" si="30"/>
        <v>1</v>
      </c>
    </row>
    <row r="56" spans="1:27" x14ac:dyDescent="0.25">
      <c r="A56" s="2" t="s">
        <v>30</v>
      </c>
      <c r="B56" s="2" t="s">
        <v>128</v>
      </c>
      <c r="C56" s="2">
        <v>1.1100000000000001</v>
      </c>
      <c r="D56" s="2">
        <v>110000</v>
      </c>
      <c r="E56" s="15">
        <f t="shared" si="28"/>
        <v>0.10000000000000009</v>
      </c>
      <c r="H56" s="2"/>
      <c r="I56" s="2"/>
      <c r="J56" s="2">
        <v>1</v>
      </c>
      <c r="K56" s="2"/>
      <c r="L56" s="2"/>
      <c r="M56" s="2"/>
      <c r="O56" s="2">
        <f t="shared" si="27"/>
        <v>0</v>
      </c>
      <c r="P56" s="2">
        <f t="shared" si="27"/>
        <v>0</v>
      </c>
      <c r="Q56" s="2">
        <f t="shared" si="27"/>
        <v>110000</v>
      </c>
      <c r="R56" s="2">
        <f t="shared" si="27"/>
        <v>0</v>
      </c>
      <c r="S56" s="2">
        <f t="shared" si="27"/>
        <v>0</v>
      </c>
      <c r="T56" s="2">
        <f t="shared" si="27"/>
        <v>0</v>
      </c>
      <c r="V56" s="2">
        <f t="shared" si="30"/>
        <v>1</v>
      </c>
      <c r="W56" s="2">
        <f t="shared" si="30"/>
        <v>1</v>
      </c>
      <c r="X56" s="2">
        <f t="shared" si="30"/>
        <v>1.1100000000000001</v>
      </c>
      <c r="Y56" s="2">
        <f t="shared" si="30"/>
        <v>1</v>
      </c>
      <c r="Z56" s="2">
        <f t="shared" si="30"/>
        <v>1</v>
      </c>
      <c r="AA56" s="2">
        <f t="shared" si="30"/>
        <v>1</v>
      </c>
    </row>
    <row r="57" spans="1:27" x14ac:dyDescent="0.25">
      <c r="A57" s="2" t="s">
        <v>31</v>
      </c>
      <c r="B57" s="2" t="s">
        <v>130</v>
      </c>
      <c r="C57" s="2">
        <v>1.0900000000000001</v>
      </c>
      <c r="D57" s="2">
        <v>95000</v>
      </c>
      <c r="E57" s="15">
        <f t="shared" si="28"/>
        <v>9.473684210526323E-2</v>
      </c>
      <c r="H57" s="2"/>
      <c r="I57" s="2"/>
      <c r="J57" s="2"/>
      <c r="K57" s="2">
        <v>1</v>
      </c>
      <c r="L57" s="2"/>
      <c r="M57" s="2"/>
      <c r="O57" s="2">
        <f t="shared" si="27"/>
        <v>0</v>
      </c>
      <c r="P57" s="2">
        <f t="shared" si="27"/>
        <v>0</v>
      </c>
      <c r="Q57" s="2">
        <f t="shared" si="27"/>
        <v>0</v>
      </c>
      <c r="R57" s="2">
        <f t="shared" si="27"/>
        <v>95000</v>
      </c>
      <c r="S57" s="2">
        <f t="shared" si="27"/>
        <v>0</v>
      </c>
      <c r="T57" s="2">
        <f t="shared" si="27"/>
        <v>0</v>
      </c>
      <c r="V57" s="2">
        <f t="shared" si="30"/>
        <v>1</v>
      </c>
      <c r="W57" s="2">
        <f t="shared" si="30"/>
        <v>1</v>
      </c>
      <c r="X57" s="2">
        <f t="shared" si="30"/>
        <v>1</v>
      </c>
      <c r="Y57" s="2">
        <f t="shared" si="30"/>
        <v>1.0900000000000001</v>
      </c>
      <c r="Z57" s="2">
        <f t="shared" si="30"/>
        <v>1</v>
      </c>
      <c r="AA57" s="2">
        <f t="shared" si="30"/>
        <v>1</v>
      </c>
    </row>
    <row r="58" spans="1:27" x14ac:dyDescent="0.25">
      <c r="A58" s="2" t="s">
        <v>32</v>
      </c>
      <c r="B58" s="2" t="s">
        <v>128</v>
      </c>
      <c r="C58" s="2">
        <v>1.1599999999999999</v>
      </c>
      <c r="D58" s="2">
        <v>156000</v>
      </c>
      <c r="E58" s="15">
        <f t="shared" si="28"/>
        <v>0.10256410256410252</v>
      </c>
      <c r="H58" s="2"/>
      <c r="I58" s="2"/>
      <c r="J58" s="2"/>
      <c r="K58" s="2"/>
      <c r="L58" s="2">
        <v>1</v>
      </c>
      <c r="M58" s="2"/>
      <c r="O58" s="2">
        <f t="shared" si="27"/>
        <v>0</v>
      </c>
      <c r="P58" s="2">
        <f t="shared" si="27"/>
        <v>0</v>
      </c>
      <c r="Q58" s="2">
        <f t="shared" si="27"/>
        <v>0</v>
      </c>
      <c r="R58" s="2">
        <f t="shared" si="27"/>
        <v>0</v>
      </c>
      <c r="S58" s="2">
        <f t="shared" si="27"/>
        <v>156000</v>
      </c>
      <c r="T58" s="2">
        <f t="shared" si="27"/>
        <v>0</v>
      </c>
      <c r="V58" s="2">
        <f t="shared" si="30"/>
        <v>1</v>
      </c>
      <c r="W58" s="2">
        <f t="shared" si="30"/>
        <v>1</v>
      </c>
      <c r="X58" s="2">
        <f t="shared" si="30"/>
        <v>1</v>
      </c>
      <c r="Y58" s="2">
        <f t="shared" si="30"/>
        <v>1</v>
      </c>
      <c r="Z58" s="2">
        <f t="shared" si="30"/>
        <v>1.1599999999999999</v>
      </c>
      <c r="AA58" s="2">
        <f t="shared" si="30"/>
        <v>1</v>
      </c>
    </row>
    <row r="59" spans="1:27" x14ac:dyDescent="0.25">
      <c r="A59" s="2" t="s">
        <v>33</v>
      </c>
      <c r="B59" s="2"/>
      <c r="C59" s="2">
        <v>1.07</v>
      </c>
      <c r="D59" s="2">
        <v>80000</v>
      </c>
      <c r="E59" s="15">
        <f t="shared" si="28"/>
        <v>8.7500000000000078E-2</v>
      </c>
      <c r="H59" s="2"/>
      <c r="I59" s="2"/>
      <c r="J59" s="2"/>
      <c r="K59" s="2"/>
      <c r="L59" s="2"/>
      <c r="M59" s="2">
        <v>1</v>
      </c>
      <c r="O59" s="2">
        <f t="shared" si="27"/>
        <v>0</v>
      </c>
      <c r="P59" s="2">
        <f t="shared" si="27"/>
        <v>0</v>
      </c>
      <c r="Q59" s="2">
        <f t="shared" si="27"/>
        <v>0</v>
      </c>
      <c r="R59" s="2">
        <f t="shared" si="27"/>
        <v>0</v>
      </c>
      <c r="S59" s="2">
        <f t="shared" si="27"/>
        <v>0</v>
      </c>
      <c r="T59" s="2">
        <f t="shared" si="27"/>
        <v>80000</v>
      </c>
      <c r="V59" s="2">
        <f t="shared" si="30"/>
        <v>1</v>
      </c>
      <c r="W59" s="2">
        <f t="shared" si="30"/>
        <v>1</v>
      </c>
      <c r="X59" s="2">
        <f t="shared" si="30"/>
        <v>1</v>
      </c>
      <c r="Y59" s="2">
        <f t="shared" si="30"/>
        <v>1</v>
      </c>
      <c r="Z59" s="2">
        <f t="shared" si="30"/>
        <v>1</v>
      </c>
      <c r="AA59" s="2">
        <f t="shared" si="30"/>
        <v>1.07</v>
      </c>
    </row>
    <row r="60" spans="1:27" x14ac:dyDescent="0.25">
      <c r="A60" s="2" t="s">
        <v>34</v>
      </c>
      <c r="B60" s="2"/>
      <c r="C60" s="2">
        <v>1.05</v>
      </c>
      <c r="D60" s="2">
        <v>60000</v>
      </c>
      <c r="E60" s="15">
        <f t="shared" si="28"/>
        <v>8.3333333333333412E-2</v>
      </c>
      <c r="H60" s="2"/>
      <c r="I60" s="2"/>
      <c r="J60" s="2"/>
      <c r="K60" s="2"/>
      <c r="L60" s="2">
        <v>1</v>
      </c>
      <c r="M60" s="2"/>
      <c r="O60" s="2">
        <f t="shared" si="27"/>
        <v>0</v>
      </c>
      <c r="P60" s="2">
        <f t="shared" si="27"/>
        <v>0</v>
      </c>
      <c r="Q60" s="2">
        <f t="shared" si="27"/>
        <v>0</v>
      </c>
      <c r="R60" s="2">
        <f t="shared" si="27"/>
        <v>0</v>
      </c>
      <c r="S60" s="2">
        <f t="shared" si="27"/>
        <v>60000</v>
      </c>
      <c r="T60" s="2">
        <f t="shared" si="27"/>
        <v>0</v>
      </c>
      <c r="V60" s="2">
        <f t="shared" si="30"/>
        <v>1</v>
      </c>
      <c r="W60" s="2">
        <f t="shared" si="30"/>
        <v>1</v>
      </c>
      <c r="X60" s="2">
        <f t="shared" si="30"/>
        <v>1</v>
      </c>
      <c r="Y60" s="2">
        <f t="shared" si="30"/>
        <v>1</v>
      </c>
      <c r="Z60" s="2">
        <f t="shared" si="30"/>
        <v>1.05</v>
      </c>
      <c r="AA60" s="2">
        <f t="shared" si="30"/>
        <v>1</v>
      </c>
    </row>
    <row r="61" spans="1:27" x14ac:dyDescent="0.25">
      <c r="A61" s="2" t="s">
        <v>35</v>
      </c>
      <c r="B61" s="2" t="s">
        <v>128</v>
      </c>
      <c r="C61" s="2">
        <v>1.08</v>
      </c>
      <c r="D61" s="2">
        <v>85000</v>
      </c>
      <c r="E61" s="15">
        <f t="shared" si="28"/>
        <v>9.4117647058823611E-2</v>
      </c>
      <c r="H61" s="2"/>
      <c r="I61" s="2"/>
      <c r="J61" s="2"/>
      <c r="K61" s="2">
        <v>1</v>
      </c>
      <c r="L61" s="2"/>
      <c r="M61" s="2"/>
      <c r="O61" s="2">
        <f t="shared" si="27"/>
        <v>0</v>
      </c>
      <c r="P61" s="2">
        <f t="shared" si="27"/>
        <v>0</v>
      </c>
      <c r="Q61" s="2">
        <f t="shared" si="27"/>
        <v>0</v>
      </c>
      <c r="R61" s="2">
        <f t="shared" si="27"/>
        <v>85000</v>
      </c>
      <c r="S61" s="2">
        <f t="shared" si="27"/>
        <v>0</v>
      </c>
      <c r="T61" s="2">
        <f t="shared" si="27"/>
        <v>0</v>
      </c>
      <c r="V61" s="2">
        <f t="shared" si="30"/>
        <v>1</v>
      </c>
      <c r="W61" s="2">
        <f t="shared" si="30"/>
        <v>1</v>
      </c>
      <c r="X61" s="2">
        <f t="shared" si="30"/>
        <v>1</v>
      </c>
      <c r="Y61" s="2">
        <f t="shared" si="30"/>
        <v>1.08</v>
      </c>
      <c r="Z61" s="2">
        <f t="shared" si="30"/>
        <v>1</v>
      </c>
      <c r="AA61" s="2">
        <f t="shared" si="30"/>
        <v>1</v>
      </c>
    </row>
    <row r="62" spans="1:27" x14ac:dyDescent="0.25">
      <c r="A62" s="2" t="s">
        <v>36</v>
      </c>
      <c r="B62" s="2" t="s">
        <v>128</v>
      </c>
      <c r="C62" s="2">
        <v>1.1399999999999999</v>
      </c>
      <c r="D62" s="2">
        <v>150000</v>
      </c>
      <c r="E62" s="15">
        <f t="shared" si="28"/>
        <v>9.3333333333333268E-2</v>
      </c>
      <c r="H62" s="2"/>
      <c r="I62" s="2"/>
      <c r="J62" s="2">
        <v>1</v>
      </c>
      <c r="K62" s="2"/>
      <c r="L62" s="2"/>
      <c r="M62" s="2"/>
      <c r="O62" s="2">
        <f t="shared" si="27"/>
        <v>0</v>
      </c>
      <c r="P62" s="2">
        <f t="shared" si="27"/>
        <v>0</v>
      </c>
      <c r="Q62" s="2">
        <f t="shared" si="27"/>
        <v>150000</v>
      </c>
      <c r="R62" s="2">
        <f t="shared" si="27"/>
        <v>0</v>
      </c>
      <c r="S62" s="2">
        <f t="shared" si="27"/>
        <v>0</v>
      </c>
      <c r="T62" s="2">
        <f t="shared" si="27"/>
        <v>0</v>
      </c>
      <c r="V62" s="2">
        <f t="shared" si="30"/>
        <v>1</v>
      </c>
      <c r="W62" s="2">
        <f t="shared" si="30"/>
        <v>1</v>
      </c>
      <c r="X62" s="2">
        <f t="shared" si="30"/>
        <v>1.1399999999999999</v>
      </c>
      <c r="Y62" s="2">
        <f t="shared" si="30"/>
        <v>1</v>
      </c>
      <c r="Z62" s="2">
        <f t="shared" si="30"/>
        <v>1</v>
      </c>
      <c r="AA62" s="2">
        <f t="shared" si="30"/>
        <v>1</v>
      </c>
    </row>
    <row r="63" spans="1:27" x14ac:dyDescent="0.25">
      <c r="A63" s="2" t="s">
        <v>37</v>
      </c>
      <c r="B63" s="2" t="s">
        <v>131</v>
      </c>
      <c r="C63" s="2">
        <v>1.1299999999999999</v>
      </c>
      <c r="D63" s="2">
        <v>120000</v>
      </c>
      <c r="E63" s="15">
        <f t="shared" si="28"/>
        <v>0.10833333333333324</v>
      </c>
      <c r="H63" s="2"/>
      <c r="I63" s="2">
        <v>1</v>
      </c>
      <c r="J63" s="2"/>
      <c r="K63" s="2"/>
      <c r="L63" s="2"/>
      <c r="M63" s="2"/>
      <c r="O63" s="2">
        <f t="shared" si="27"/>
        <v>0</v>
      </c>
      <c r="P63" s="2">
        <f t="shared" si="27"/>
        <v>120000</v>
      </c>
      <c r="Q63" s="2">
        <f t="shared" si="27"/>
        <v>0</v>
      </c>
      <c r="R63" s="2">
        <f t="shared" si="27"/>
        <v>0</v>
      </c>
      <c r="S63" s="2">
        <f t="shared" si="27"/>
        <v>0</v>
      </c>
      <c r="T63" s="2">
        <f t="shared" si="27"/>
        <v>0</v>
      </c>
      <c r="V63" s="2">
        <f t="shared" si="30"/>
        <v>1</v>
      </c>
      <c r="W63" s="2">
        <f t="shared" si="30"/>
        <v>1.1299999999999999</v>
      </c>
      <c r="X63" s="2">
        <f t="shared" si="30"/>
        <v>1</v>
      </c>
      <c r="Y63" s="2">
        <f t="shared" si="30"/>
        <v>1</v>
      </c>
      <c r="Z63" s="2">
        <f t="shared" si="30"/>
        <v>1</v>
      </c>
      <c r="AA63" s="2">
        <f t="shared" si="30"/>
        <v>1</v>
      </c>
    </row>
    <row r="64" spans="1:27" x14ac:dyDescent="0.25">
      <c r="A64" s="12" t="s">
        <v>75</v>
      </c>
      <c r="B64" s="12" t="s">
        <v>73</v>
      </c>
      <c r="C64" s="12">
        <v>0.9</v>
      </c>
      <c r="D64" s="12">
        <v>1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>
        <f>IF(O51&lt;AVERAGE($O$51:$T$51),$C64,$D64)</f>
        <v>0.9</v>
      </c>
      <c r="W64" s="12">
        <f t="shared" ref="W64:AA64" si="31">IF(P51&lt;AVERAGE($O$51:$T$51),$C64,$D64)</f>
        <v>1</v>
      </c>
      <c r="X64" s="12">
        <f t="shared" si="31"/>
        <v>1</v>
      </c>
      <c r="Y64" s="12">
        <f t="shared" si="31"/>
        <v>1</v>
      </c>
      <c r="Z64" s="12">
        <f t="shared" si="31"/>
        <v>1</v>
      </c>
      <c r="AA64" s="12">
        <f t="shared" si="31"/>
        <v>0.9</v>
      </c>
    </row>
    <row r="67" spans="1:27" x14ac:dyDescent="0.25">
      <c r="A67" s="14" t="s">
        <v>80</v>
      </c>
    </row>
    <row r="68" spans="1:27" x14ac:dyDescent="0.25">
      <c r="A68" s="1" t="s">
        <v>81</v>
      </c>
      <c r="B68" s="1" t="s">
        <v>7</v>
      </c>
      <c r="C68" s="1" t="s">
        <v>6</v>
      </c>
      <c r="D68" s="1" t="s">
        <v>44</v>
      </c>
      <c r="E68" s="1" t="s">
        <v>71</v>
      </c>
      <c r="O68" s="1">
        <f t="shared" ref="O68:T68" si="32">SUM(O70:O72)</f>
        <v>101800</v>
      </c>
      <c r="P68" s="1">
        <f t="shared" si="32"/>
        <v>144500</v>
      </c>
      <c r="Q68" s="1">
        <f t="shared" si="32"/>
        <v>139000</v>
      </c>
      <c r="R68" s="1">
        <f t="shared" si="32"/>
        <v>183500</v>
      </c>
      <c r="S68" s="1">
        <f t="shared" si="32"/>
        <v>128000</v>
      </c>
      <c r="T68" s="1">
        <f t="shared" si="32"/>
        <v>122500</v>
      </c>
      <c r="V68" s="14">
        <f t="shared" ref="V68:AA68" si="33">PRODUCT(V70:V72)</f>
        <v>0.97335000000000016</v>
      </c>
      <c r="W68" s="14">
        <f t="shared" si="33"/>
        <v>0.9405</v>
      </c>
      <c r="X68" s="14">
        <f t="shared" si="33"/>
        <v>1.1355750000000002</v>
      </c>
      <c r="Y68" s="14">
        <f t="shared" si="33"/>
        <v>1.3029500000000001</v>
      </c>
      <c r="Z68" s="14">
        <f t="shared" si="33"/>
        <v>1.243725</v>
      </c>
      <c r="AA68" s="14">
        <f t="shared" si="33"/>
        <v>1.242</v>
      </c>
    </row>
    <row r="69" spans="1:27" x14ac:dyDescent="0.25">
      <c r="A69" s="2" t="s">
        <v>132</v>
      </c>
      <c r="B69" s="6" t="s">
        <v>129</v>
      </c>
      <c r="C69" s="2">
        <v>0</v>
      </c>
      <c r="D69" s="2">
        <v>0</v>
      </c>
      <c r="E69" s="2">
        <v>0</v>
      </c>
      <c r="O69" s="2"/>
      <c r="P69" s="2"/>
      <c r="Q69" s="2"/>
      <c r="R69" s="2"/>
      <c r="S69" s="2"/>
      <c r="T69" s="2"/>
      <c r="V69" s="2"/>
      <c r="W69" s="2"/>
      <c r="X69" s="2"/>
      <c r="Y69" s="2"/>
      <c r="Z69" s="2"/>
      <c r="AA69" s="2"/>
    </row>
    <row r="70" spans="1:27" x14ac:dyDescent="0.25">
      <c r="A70" s="2" t="s">
        <v>38</v>
      </c>
      <c r="B70" s="6" t="s">
        <v>83</v>
      </c>
      <c r="C70" s="12">
        <v>0.95</v>
      </c>
      <c r="D70" s="12">
        <v>1.03</v>
      </c>
      <c r="E70" s="18">
        <v>1.08</v>
      </c>
      <c r="F70" s="13"/>
      <c r="G70" s="13"/>
      <c r="H70" s="12"/>
      <c r="I70" s="12"/>
      <c r="J70" s="12"/>
      <c r="K70" s="12"/>
      <c r="L70" s="12"/>
      <c r="M70" s="12"/>
      <c r="N70" s="13"/>
      <c r="O70" s="12">
        <v>50000</v>
      </c>
      <c r="P70" s="12">
        <v>40000</v>
      </c>
      <c r="Q70" s="12">
        <v>80000</v>
      </c>
      <c r="R70" s="12">
        <v>70000</v>
      </c>
      <c r="S70" s="12">
        <v>60000</v>
      </c>
      <c r="T70" s="12">
        <v>100000</v>
      </c>
      <c r="U70" s="13"/>
      <c r="V70" s="12">
        <f t="shared" ref="V70:AA70" si="34">IF(O70=MIN($O$70:$T$70),$C70,IF(O70=MAX($O$70:$T$70),$E70,$D70))</f>
        <v>1.03</v>
      </c>
      <c r="W70" s="12">
        <f t="shared" si="34"/>
        <v>0.95</v>
      </c>
      <c r="X70" s="12">
        <f t="shared" si="34"/>
        <v>1.03</v>
      </c>
      <c r="Y70" s="12">
        <f t="shared" si="34"/>
        <v>1.03</v>
      </c>
      <c r="Z70" s="12">
        <f t="shared" si="34"/>
        <v>1.03</v>
      </c>
      <c r="AA70" s="12">
        <f t="shared" si="34"/>
        <v>1.08</v>
      </c>
    </row>
    <row r="71" spans="1:27" x14ac:dyDescent="0.25">
      <c r="A71" s="2" t="s">
        <v>94</v>
      </c>
      <c r="B71" s="6" t="s">
        <v>76</v>
      </c>
      <c r="C71" s="2">
        <v>0.05</v>
      </c>
      <c r="D71" s="2">
        <v>50000</v>
      </c>
      <c r="E71" s="15">
        <f>100000*(C71)/D71</f>
        <v>0.1</v>
      </c>
      <c r="H71" s="2">
        <v>1</v>
      </c>
      <c r="I71" s="2">
        <v>2</v>
      </c>
      <c r="J71" s="2">
        <v>1</v>
      </c>
      <c r="K71" s="2">
        <v>2</v>
      </c>
      <c r="L71" s="2">
        <v>1</v>
      </c>
      <c r="M71" s="2">
        <v>0</v>
      </c>
      <c r="O71" s="2">
        <f t="shared" ref="O71:T71" si="35">H71*$D71</f>
        <v>50000</v>
      </c>
      <c r="P71" s="2">
        <f t="shared" si="35"/>
        <v>100000</v>
      </c>
      <c r="Q71" s="2">
        <f t="shared" si="35"/>
        <v>50000</v>
      </c>
      <c r="R71" s="2">
        <f t="shared" si="35"/>
        <v>100000</v>
      </c>
      <c r="S71" s="2">
        <f t="shared" si="35"/>
        <v>50000</v>
      </c>
      <c r="T71" s="2">
        <f t="shared" si="35"/>
        <v>0</v>
      </c>
      <c r="V71" s="2">
        <f t="shared" ref="V71:AA71" si="36">1+(O71*$C71/$D71)</f>
        <v>1.05</v>
      </c>
      <c r="W71" s="2">
        <f t="shared" si="36"/>
        <v>1.1000000000000001</v>
      </c>
      <c r="X71" s="2">
        <f t="shared" si="36"/>
        <v>1.05</v>
      </c>
      <c r="Y71" s="2">
        <f t="shared" si="36"/>
        <v>1.1000000000000001</v>
      </c>
      <c r="Z71" s="2">
        <f t="shared" si="36"/>
        <v>1.05</v>
      </c>
      <c r="AA71" s="2">
        <f t="shared" si="36"/>
        <v>1</v>
      </c>
    </row>
    <row r="72" spans="1:27" x14ac:dyDescent="0.25">
      <c r="A72" s="2" t="s">
        <v>95</v>
      </c>
      <c r="B72" s="6" t="s">
        <v>76</v>
      </c>
      <c r="C72" s="2">
        <v>0.9</v>
      </c>
      <c r="D72" s="2">
        <v>1.05</v>
      </c>
      <c r="E72" s="2">
        <v>1.1499999999999999</v>
      </c>
      <c r="H72" s="4">
        <v>0.02</v>
      </c>
      <c r="I72" s="4">
        <v>0.05</v>
      </c>
      <c r="J72" s="4">
        <v>0.1</v>
      </c>
      <c r="K72" s="4">
        <v>0.15</v>
      </c>
      <c r="L72" s="4">
        <v>0.2</v>
      </c>
      <c r="M72" s="4">
        <v>0.25</v>
      </c>
      <c r="O72" s="2">
        <f t="shared" ref="O72:T72" si="37">H72*H11*$D11</f>
        <v>1800</v>
      </c>
      <c r="P72" s="2">
        <f t="shared" si="37"/>
        <v>4500.0000000000009</v>
      </c>
      <c r="Q72" s="2">
        <f t="shared" si="37"/>
        <v>9000.0000000000018</v>
      </c>
      <c r="R72" s="2">
        <f t="shared" si="37"/>
        <v>13499.999999999998</v>
      </c>
      <c r="S72" s="2">
        <f t="shared" si="37"/>
        <v>18000.000000000004</v>
      </c>
      <c r="T72" s="2">
        <f t="shared" si="37"/>
        <v>22500</v>
      </c>
      <c r="V72" s="2">
        <f t="shared" ref="V72:AA72" si="38">IF(H72&lt;C$73,$C72,IF(H72&gt;$D73,$E72,$D72))</f>
        <v>0.9</v>
      </c>
      <c r="W72" s="2">
        <f t="shared" si="38"/>
        <v>0.9</v>
      </c>
      <c r="X72" s="2">
        <f t="shared" si="38"/>
        <v>1.05</v>
      </c>
      <c r="Y72" s="2">
        <f t="shared" si="38"/>
        <v>1.1499999999999999</v>
      </c>
      <c r="Z72" s="2">
        <f t="shared" si="38"/>
        <v>1.1499999999999999</v>
      </c>
      <c r="AA72" s="2">
        <f t="shared" si="38"/>
        <v>1.1499999999999999</v>
      </c>
    </row>
    <row r="73" spans="1:27" x14ac:dyDescent="0.25">
      <c r="C73" s="4">
        <v>0.05</v>
      </c>
      <c r="D73" s="4">
        <v>0.1</v>
      </c>
      <c r="E73" s="2"/>
    </row>
    <row r="75" spans="1:27" x14ac:dyDescent="0.25">
      <c r="A75" s="14" t="s">
        <v>84</v>
      </c>
    </row>
    <row r="76" spans="1:27" x14ac:dyDescent="0.25">
      <c r="A76" t="s">
        <v>39</v>
      </c>
      <c r="B76" s="6" t="s">
        <v>82</v>
      </c>
      <c r="H76" s="2">
        <v>1</v>
      </c>
      <c r="I76" s="2">
        <v>2</v>
      </c>
      <c r="J76" s="2">
        <v>3</v>
      </c>
      <c r="K76" s="2">
        <v>4</v>
      </c>
      <c r="L76" s="2">
        <v>5</v>
      </c>
      <c r="M76" s="2">
        <v>5</v>
      </c>
      <c r="O76" s="2"/>
      <c r="P76" s="2"/>
      <c r="Q76" s="2"/>
      <c r="R76" s="2"/>
      <c r="S76" s="2"/>
      <c r="T76" s="2"/>
    </row>
    <row r="77" spans="1:27" ht="15.75" thickBot="1" x14ac:dyDescent="0.3">
      <c r="A77" s="20" t="s">
        <v>98</v>
      </c>
      <c r="B77" s="19" t="s">
        <v>96</v>
      </c>
      <c r="C77" s="20"/>
      <c r="D77" s="20" t="s">
        <v>232</v>
      </c>
      <c r="E77" s="20"/>
      <c r="F77" s="20"/>
      <c r="G77" s="20"/>
      <c r="H77" s="22">
        <f>100/(1+EXP(-((H76-AVERAGE($H$76:$M$76))/_xlfn.STDEV.S($H$76:$M$76))))</f>
        <v>19.327496571131284</v>
      </c>
      <c r="I77" s="22">
        <f t="shared" ref="I77:M77" si="39">100/(1+EXP(-((I76-AVERAGE($H$76:$M$76))/_xlfn.STDEV.S($H$76:$M$76))))</f>
        <v>30.650784417050215</v>
      </c>
      <c r="J77" s="22">
        <f t="shared" si="39"/>
        <v>44.914541959383747</v>
      </c>
      <c r="K77" s="22">
        <f t="shared" si="39"/>
        <v>60.066777747966171</v>
      </c>
      <c r="L77" s="22">
        <f t="shared" si="39"/>
        <v>73.509349176120438</v>
      </c>
      <c r="M77" s="22">
        <f t="shared" si="39"/>
        <v>73.509349176120438</v>
      </c>
      <c r="O77" s="2"/>
      <c r="P77" s="2"/>
      <c r="Q77" s="2"/>
      <c r="R77" s="2"/>
      <c r="S77" s="2"/>
      <c r="T77" s="2"/>
    </row>
    <row r="78" spans="1:27" ht="15.75" thickBot="1" x14ac:dyDescent="0.3">
      <c r="A78" s="20" t="s">
        <v>85</v>
      </c>
      <c r="B78" s="19" t="s">
        <v>96</v>
      </c>
      <c r="C78" s="20"/>
      <c r="D78" s="55">
        <v>1200</v>
      </c>
      <c r="E78" s="20"/>
      <c r="F78" s="20"/>
      <c r="G78" s="20"/>
      <c r="H78" s="19">
        <f t="shared" ref="H78:M78" si="40">VLOOKUP(H76,$A$96:$F$103,6,FALSE)</f>
        <v>1</v>
      </c>
      <c r="I78" s="19">
        <f t="shared" si="40"/>
        <v>1.2</v>
      </c>
      <c r="J78" s="19">
        <f t="shared" si="40"/>
        <v>1.4</v>
      </c>
      <c r="K78" s="19">
        <f t="shared" si="40"/>
        <v>1.6</v>
      </c>
      <c r="L78" s="19">
        <f t="shared" si="40"/>
        <v>1.8</v>
      </c>
      <c r="M78" s="19">
        <f t="shared" si="40"/>
        <v>1.8</v>
      </c>
      <c r="O78" s="19">
        <f t="shared" ref="O78:T78" si="41">H78*$D78</f>
        <v>1200</v>
      </c>
      <c r="P78" s="19">
        <f t="shared" si="41"/>
        <v>1440</v>
      </c>
      <c r="Q78" s="19">
        <f t="shared" si="41"/>
        <v>1680</v>
      </c>
      <c r="R78" s="19">
        <f t="shared" si="41"/>
        <v>1920</v>
      </c>
      <c r="S78" s="19">
        <f t="shared" si="41"/>
        <v>2160</v>
      </c>
      <c r="T78" s="19">
        <f t="shared" si="41"/>
        <v>2160</v>
      </c>
    </row>
    <row r="79" spans="1:27" x14ac:dyDescent="0.25">
      <c r="A79" t="s">
        <v>60</v>
      </c>
      <c r="B79" s="6" t="s">
        <v>82</v>
      </c>
      <c r="H79" s="2">
        <v>2</v>
      </c>
      <c r="I79" s="2">
        <v>2.2000000000000002</v>
      </c>
      <c r="J79" s="2">
        <v>2.5</v>
      </c>
      <c r="K79" s="2">
        <v>2.6</v>
      </c>
      <c r="L79" s="2">
        <v>2.8</v>
      </c>
      <c r="M79" s="2">
        <v>3.2</v>
      </c>
      <c r="O79" s="2">
        <f t="shared" ref="O79:T79" si="42">O78*H79</f>
        <v>2400</v>
      </c>
      <c r="P79" s="2">
        <f t="shared" si="42"/>
        <v>3168.0000000000005</v>
      </c>
      <c r="Q79" s="2">
        <f t="shared" si="42"/>
        <v>4200</v>
      </c>
      <c r="R79" s="2">
        <f t="shared" si="42"/>
        <v>4992</v>
      </c>
      <c r="S79" s="2">
        <f t="shared" si="42"/>
        <v>6048</v>
      </c>
      <c r="T79" s="2">
        <f t="shared" si="42"/>
        <v>6912</v>
      </c>
    </row>
    <row r="80" spans="1:27" x14ac:dyDescent="0.25">
      <c r="A80" s="20" t="s">
        <v>97</v>
      </c>
      <c r="B80" s="19" t="s">
        <v>96</v>
      </c>
      <c r="C80" s="20"/>
      <c r="D80" s="20"/>
      <c r="E80" s="20"/>
      <c r="F80" s="20"/>
      <c r="G80" s="20"/>
      <c r="H80" s="19">
        <f t="shared" ref="H80:M80" si="43">H78*H79</f>
        <v>2</v>
      </c>
      <c r="I80" s="19">
        <f t="shared" si="43"/>
        <v>2.64</v>
      </c>
      <c r="J80" s="19">
        <f t="shared" si="43"/>
        <v>3.5</v>
      </c>
      <c r="K80" s="19">
        <f t="shared" si="43"/>
        <v>4.16</v>
      </c>
      <c r="L80" s="19">
        <f t="shared" si="43"/>
        <v>5.04</v>
      </c>
      <c r="M80" s="19">
        <f t="shared" si="43"/>
        <v>5.7600000000000007</v>
      </c>
    </row>
    <row r="81" spans="1:27" ht="15.75" thickBot="1" x14ac:dyDescent="0.3">
      <c r="A81" s="20" t="s">
        <v>98</v>
      </c>
      <c r="B81" s="19" t="s">
        <v>96</v>
      </c>
      <c r="C81" s="20"/>
      <c r="D81" s="20"/>
      <c r="E81" s="20"/>
      <c r="F81" s="20"/>
      <c r="G81" s="20"/>
      <c r="H81" s="22">
        <f t="shared" ref="H81:M81" si="44">100/(1+EXP(-((H80-AVERAGE($H$80:$M$80))/_xlfn.STDEV.S($H$80:$M$80))))</f>
        <v>21.463555931279156</v>
      </c>
      <c r="I81" s="22">
        <f t="shared" si="44"/>
        <v>29.975956078916628</v>
      </c>
      <c r="J81" s="22">
        <f t="shared" si="44"/>
        <v>43.895174839013052</v>
      </c>
      <c r="K81" s="22">
        <f t="shared" si="44"/>
        <v>55.412946285829776</v>
      </c>
      <c r="L81" s="22">
        <f t="shared" si="44"/>
        <v>69.728853878908993</v>
      </c>
      <c r="M81" s="22">
        <f t="shared" si="44"/>
        <v>79.237116827538557</v>
      </c>
    </row>
    <row r="82" spans="1:27" ht="15.75" thickBot="1" x14ac:dyDescent="0.3">
      <c r="A82" s="23" t="s">
        <v>106</v>
      </c>
      <c r="B82" s="24" t="s">
        <v>96</v>
      </c>
      <c r="C82" s="23" t="s">
        <v>107</v>
      </c>
      <c r="D82" s="56">
        <v>3.2</v>
      </c>
      <c r="E82" s="56">
        <v>0.8</v>
      </c>
      <c r="F82" s="23"/>
      <c r="G82" s="23"/>
      <c r="H82" s="25">
        <f>100/(1+EXP(-$E82*(H80-$D82)))</f>
        <v>27.687819487561011</v>
      </c>
      <c r="I82" s="25">
        <f t="shared" ref="I82:M82" si="45">100/(1+EXP(-$E82*(I80-$D82)))</f>
        <v>38.983638905718941</v>
      </c>
      <c r="J82" s="25">
        <f t="shared" si="45"/>
        <v>55.971364926719296</v>
      </c>
      <c r="K82" s="25">
        <f t="shared" si="45"/>
        <v>68.308809486218507</v>
      </c>
      <c r="L82" s="25">
        <f t="shared" si="45"/>
        <v>81.336118586322655</v>
      </c>
      <c r="M82" s="25">
        <f t="shared" si="45"/>
        <v>88.574537380452867</v>
      </c>
    </row>
    <row r="85" spans="1:27" x14ac:dyDescent="0.25">
      <c r="A85" s="14" t="s">
        <v>88</v>
      </c>
      <c r="V85" s="14">
        <f t="shared" ref="V85:AA85" si="46">PRODUCT(V86:V88)</f>
        <v>2.2524999999999999</v>
      </c>
      <c r="W85" s="14">
        <f t="shared" si="46"/>
        <v>2.2524999999999999</v>
      </c>
      <c r="X85" s="14">
        <f t="shared" si="46"/>
        <v>2.2524999999999999</v>
      </c>
      <c r="Y85" s="14">
        <f t="shared" si="46"/>
        <v>2.2524999999999999</v>
      </c>
      <c r="Z85" s="14">
        <f t="shared" si="46"/>
        <v>2.2524999999999999</v>
      </c>
      <c r="AA85" s="14">
        <f t="shared" si="46"/>
        <v>2.2524999999999999</v>
      </c>
    </row>
    <row r="86" spans="1:27" x14ac:dyDescent="0.25">
      <c r="A86" s="2" t="s">
        <v>49</v>
      </c>
      <c r="B86" s="2" t="s">
        <v>91</v>
      </c>
      <c r="C86" s="2">
        <v>2.65</v>
      </c>
      <c r="D86" s="2">
        <v>1.5</v>
      </c>
      <c r="E86" s="2"/>
      <c r="V86" s="2">
        <f t="shared" ref="V86:AA86" si="47">$C86</f>
        <v>2.65</v>
      </c>
      <c r="W86" s="2">
        <f t="shared" si="47"/>
        <v>2.65</v>
      </c>
      <c r="X86" s="2">
        <f t="shared" si="47"/>
        <v>2.65</v>
      </c>
      <c r="Y86" s="2">
        <f t="shared" si="47"/>
        <v>2.65</v>
      </c>
      <c r="Z86" s="2">
        <f t="shared" si="47"/>
        <v>2.65</v>
      </c>
      <c r="AA86" s="2">
        <f t="shared" si="47"/>
        <v>2.65</v>
      </c>
    </row>
    <row r="87" spans="1:27" x14ac:dyDescent="0.25">
      <c r="A87" s="2" t="s">
        <v>89</v>
      </c>
      <c r="B87" s="2"/>
      <c r="C87" s="2">
        <v>0.85</v>
      </c>
      <c r="D87" s="2">
        <v>0.95</v>
      </c>
      <c r="E87" s="2">
        <v>1</v>
      </c>
      <c r="V87" s="2">
        <f>$C87</f>
        <v>0.85</v>
      </c>
      <c r="W87" s="2">
        <f>$C87</f>
        <v>0.85</v>
      </c>
      <c r="X87" s="2">
        <f>$C87</f>
        <v>0.85</v>
      </c>
      <c r="Y87" s="2">
        <f>$C87</f>
        <v>0.85</v>
      </c>
      <c r="Z87" s="2">
        <f t="shared" ref="Z87:AA87" si="48">$C87</f>
        <v>0.85</v>
      </c>
      <c r="AA87" s="2">
        <f t="shared" si="48"/>
        <v>0.85</v>
      </c>
    </row>
    <row r="88" spans="1:27" x14ac:dyDescent="0.25">
      <c r="A88" s="2" t="s">
        <v>40</v>
      </c>
      <c r="B88" s="6" t="s">
        <v>82</v>
      </c>
      <c r="C88" s="2" t="s">
        <v>90</v>
      </c>
      <c r="D88" s="2"/>
      <c r="E88" s="2"/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1</v>
      </c>
    </row>
    <row r="90" spans="1:27" x14ac:dyDescent="0.25">
      <c r="A90" s="14" t="s">
        <v>88</v>
      </c>
    </row>
    <row r="91" spans="1:27" x14ac:dyDescent="0.25">
      <c r="A91" s="2" t="s">
        <v>111</v>
      </c>
      <c r="B91" s="24" t="s">
        <v>96</v>
      </c>
      <c r="C91" s="2"/>
      <c r="D91" s="2">
        <v>80</v>
      </c>
      <c r="E91" s="2">
        <v>98</v>
      </c>
      <c r="V91" s="14">
        <f>IF(AND(H$82&gt;$D91,H$82&lt;$E91),1,0)</f>
        <v>0</v>
      </c>
      <c r="W91" s="14">
        <f>IF(AND(I82&gt;$D91,I82&lt;$E91),1,0)</f>
        <v>0</v>
      </c>
      <c r="X91" s="14">
        <f>IF(AND(J82&gt;$D91,J82&lt;$E91),1,0)</f>
        <v>0</v>
      </c>
      <c r="Y91" s="14">
        <f>IF(AND(K82&gt;$D91,K82&lt;$E91),1,0)</f>
        <v>0</v>
      </c>
      <c r="Z91" s="14">
        <f>IF(AND(L82&gt;$D91,L82&lt;$E91),1,0)</f>
        <v>1</v>
      </c>
      <c r="AA91" s="14">
        <f>IF(AND(M82&gt;$D91,M82&lt;$E91),1,0)</f>
        <v>1</v>
      </c>
    </row>
    <row r="92" spans="1:27" x14ac:dyDescent="0.25">
      <c r="A92" s="2" t="s">
        <v>112</v>
      </c>
      <c r="B92" s="24" t="s">
        <v>96</v>
      </c>
      <c r="C92" s="2"/>
      <c r="D92" s="2">
        <v>65</v>
      </c>
      <c r="E92" s="2">
        <v>85</v>
      </c>
      <c r="V92" s="14">
        <f>IF(AND(H$82&gt;$D92,H$82&lt;$E92),1,0)</f>
        <v>0</v>
      </c>
      <c r="W92" s="14">
        <f t="shared" ref="W92:AA92" si="49">IF(AND(I$82&gt;$D92,I$82&lt;$E92),1,0)</f>
        <v>0</v>
      </c>
      <c r="X92" s="14">
        <f t="shared" si="49"/>
        <v>0</v>
      </c>
      <c r="Y92" s="14">
        <f t="shared" si="49"/>
        <v>1</v>
      </c>
      <c r="Z92" s="14">
        <f t="shared" si="49"/>
        <v>1</v>
      </c>
      <c r="AA92" s="14">
        <f t="shared" si="49"/>
        <v>0</v>
      </c>
    </row>
    <row r="93" spans="1:27" x14ac:dyDescent="0.25">
      <c r="A93" s="2" t="s">
        <v>113</v>
      </c>
      <c r="B93" s="24" t="s">
        <v>96</v>
      </c>
      <c r="C93" s="2"/>
      <c r="D93" s="2">
        <v>40</v>
      </c>
      <c r="E93" s="2">
        <v>70</v>
      </c>
      <c r="V93" s="14">
        <f t="shared" ref="V93:V94" si="50">IF(AND(H$82&gt;$D93,H$82&lt;$E93),1,0)</f>
        <v>0</v>
      </c>
      <c r="W93" s="14">
        <f t="shared" ref="W93:W94" si="51">IF(AND(I$82&gt;$D93,I$82&lt;$E93),1,0)</f>
        <v>0</v>
      </c>
      <c r="X93" s="14">
        <f t="shared" ref="X93:X94" si="52">IF(AND(J$82&gt;$D93,J$82&lt;$E93),1,0)</f>
        <v>1</v>
      </c>
      <c r="Y93" s="14">
        <f t="shared" ref="Y93:Y94" si="53">IF(AND(K$82&gt;$D93,K$82&lt;$E93),1,0)</f>
        <v>1</v>
      </c>
      <c r="Z93" s="14">
        <f t="shared" ref="Z93:Z94" si="54">IF(AND(L$82&gt;$D93,L$82&lt;$E93),1,0)</f>
        <v>0</v>
      </c>
      <c r="AA93" s="14">
        <f t="shared" ref="AA93:AA94" si="55">IF(AND(M$82&gt;$D93,M$82&lt;$E93),1,0)</f>
        <v>0</v>
      </c>
    </row>
    <row r="94" spans="1:27" x14ac:dyDescent="0.25">
      <c r="A94" s="2" t="s">
        <v>114</v>
      </c>
      <c r="B94" s="24" t="s">
        <v>96</v>
      </c>
      <c r="C94" s="2"/>
      <c r="D94" s="2">
        <v>20</v>
      </c>
      <c r="E94" s="2">
        <v>50</v>
      </c>
      <c r="V94" s="14">
        <f t="shared" si="50"/>
        <v>1</v>
      </c>
      <c r="W94" s="14">
        <f t="shared" si="51"/>
        <v>1</v>
      </c>
      <c r="X94" s="14">
        <f t="shared" si="52"/>
        <v>0</v>
      </c>
      <c r="Y94" s="14">
        <f t="shared" si="53"/>
        <v>0</v>
      </c>
      <c r="Z94" s="14">
        <f t="shared" si="54"/>
        <v>0</v>
      </c>
      <c r="AA94" s="14">
        <f t="shared" si="55"/>
        <v>0</v>
      </c>
    </row>
    <row r="96" spans="1:27" x14ac:dyDescent="0.25">
      <c r="A96" s="1" t="s">
        <v>39</v>
      </c>
      <c r="B96" s="1" t="s">
        <v>0</v>
      </c>
      <c r="C96" s="1" t="s">
        <v>86</v>
      </c>
      <c r="D96" s="1" t="s">
        <v>87</v>
      </c>
      <c r="E96" s="1" t="s">
        <v>2</v>
      </c>
      <c r="F96" s="1" t="s">
        <v>85</v>
      </c>
      <c r="G96" s="1" t="s">
        <v>98</v>
      </c>
    </row>
    <row r="97" spans="1:13" x14ac:dyDescent="0.25">
      <c r="A97" s="6">
        <v>1</v>
      </c>
      <c r="B97" s="2"/>
      <c r="C97" s="2"/>
      <c r="D97" s="2">
        <v>1</v>
      </c>
      <c r="E97" s="2">
        <v>1</v>
      </c>
      <c r="F97" s="2">
        <v>1</v>
      </c>
      <c r="G97" s="22">
        <f>100/(1+EXP(-((A97-AVERAGE($A$97:$A$103))/_xlfn.STDEV.S($A$97:$A$103))))</f>
        <v>19.96105586053843</v>
      </c>
    </row>
    <row r="98" spans="1:13" x14ac:dyDescent="0.25">
      <c r="A98" s="6">
        <v>2</v>
      </c>
      <c r="B98" s="2"/>
      <c r="C98" s="2"/>
      <c r="D98" s="2">
        <v>1</v>
      </c>
      <c r="E98" s="2">
        <v>1</v>
      </c>
      <c r="F98" s="2">
        <v>1.2</v>
      </c>
      <c r="G98" s="22">
        <f t="shared" ref="G98:G103" si="56">100/(1+EXP(-((A98-AVERAGE($A$97:$A$103))/_xlfn.STDEV.S($A$97:$A$103))))</f>
        <v>28.377349455208687</v>
      </c>
    </row>
    <row r="99" spans="1:13" x14ac:dyDescent="0.25">
      <c r="A99" s="6">
        <v>3</v>
      </c>
      <c r="B99" s="2"/>
      <c r="C99" s="2">
        <v>1</v>
      </c>
      <c r="D99" s="2">
        <v>1</v>
      </c>
      <c r="E99" s="2"/>
      <c r="F99" s="2">
        <v>1.4</v>
      </c>
      <c r="G99" s="22">
        <f t="shared" si="56"/>
        <v>38.629570659055489</v>
      </c>
    </row>
    <row r="100" spans="1:13" x14ac:dyDescent="0.25">
      <c r="A100" s="6">
        <v>4</v>
      </c>
      <c r="B100" s="2">
        <v>1</v>
      </c>
      <c r="C100" s="2">
        <v>1</v>
      </c>
      <c r="D100" s="2"/>
      <c r="E100" s="2"/>
      <c r="F100" s="2">
        <v>1.6</v>
      </c>
      <c r="G100" s="22">
        <f t="shared" si="56"/>
        <v>50</v>
      </c>
    </row>
    <row r="101" spans="1:13" x14ac:dyDescent="0.25">
      <c r="A101" s="6">
        <v>5</v>
      </c>
      <c r="B101" s="2">
        <v>1</v>
      </c>
      <c r="C101" s="2">
        <v>1</v>
      </c>
      <c r="D101" s="2"/>
      <c r="E101" s="2"/>
      <c r="F101" s="2">
        <v>1.8</v>
      </c>
      <c r="G101" s="22">
        <f t="shared" si="56"/>
        <v>61.370429340944519</v>
      </c>
    </row>
    <row r="102" spans="1:13" x14ac:dyDescent="0.25">
      <c r="A102" s="6">
        <v>6</v>
      </c>
      <c r="B102" s="2">
        <v>1</v>
      </c>
      <c r="C102" s="2">
        <v>1</v>
      </c>
      <c r="D102" s="2"/>
      <c r="E102" s="2"/>
      <c r="F102" s="2">
        <v>2</v>
      </c>
      <c r="G102" s="22">
        <f t="shared" si="56"/>
        <v>71.622650544791313</v>
      </c>
    </row>
    <row r="103" spans="1:13" x14ac:dyDescent="0.25">
      <c r="A103" s="6">
        <v>7</v>
      </c>
      <c r="B103" s="2">
        <v>1</v>
      </c>
      <c r="C103" s="2"/>
      <c r="D103" s="2"/>
      <c r="E103" s="2"/>
      <c r="F103" s="2">
        <v>2.4</v>
      </c>
      <c r="G103" s="22">
        <f t="shared" si="56"/>
        <v>80.038944139461577</v>
      </c>
    </row>
    <row r="106" spans="1:13" x14ac:dyDescent="0.25">
      <c r="A106" s="1" t="s">
        <v>93</v>
      </c>
      <c r="B106" s="1" t="s">
        <v>0</v>
      </c>
      <c r="C106" s="1" t="s">
        <v>86</v>
      </c>
      <c r="D106" s="1" t="s">
        <v>87</v>
      </c>
      <c r="E106" s="1" t="s">
        <v>2</v>
      </c>
      <c r="H106" s="1" t="s">
        <v>100</v>
      </c>
      <c r="I106" s="2"/>
      <c r="J106" s="2"/>
      <c r="K106" s="2"/>
      <c r="L106" s="2"/>
      <c r="M106" s="2"/>
    </row>
    <row r="107" spans="1:13" x14ac:dyDescent="0.25">
      <c r="A107" s="2" t="s">
        <v>92</v>
      </c>
      <c r="B107" s="2">
        <v>0.1</v>
      </c>
      <c r="C107" s="2">
        <v>0.3</v>
      </c>
      <c r="D107" s="2">
        <v>0.5</v>
      </c>
      <c r="E107" s="2">
        <v>0.9</v>
      </c>
      <c r="H107" s="21">
        <f t="shared" ref="H107:M107" si="57">100-H81</f>
        <v>78.53644406872084</v>
      </c>
      <c r="I107" s="21">
        <f t="shared" si="57"/>
        <v>70.024043921083376</v>
      </c>
      <c r="J107" s="21">
        <f t="shared" si="57"/>
        <v>56.104825160986948</v>
      </c>
      <c r="K107" s="21">
        <f t="shared" si="57"/>
        <v>44.587053714170224</v>
      </c>
      <c r="L107" s="21">
        <f t="shared" si="57"/>
        <v>30.271146121091007</v>
      </c>
      <c r="M107" s="21">
        <f t="shared" si="57"/>
        <v>20.762883172461443</v>
      </c>
    </row>
    <row r="108" spans="1:13" x14ac:dyDescent="0.25">
      <c r="A108" s="2" t="s">
        <v>103</v>
      </c>
      <c r="B108" s="2">
        <v>0.8</v>
      </c>
      <c r="C108" s="2">
        <v>0.6</v>
      </c>
      <c r="D108" s="2">
        <v>0.4</v>
      </c>
      <c r="E108" s="2">
        <v>0.2</v>
      </c>
      <c r="H108" s="21">
        <f t="shared" ref="H108:M108" si="58">H77</f>
        <v>19.327496571131284</v>
      </c>
      <c r="I108" s="21">
        <f t="shared" si="58"/>
        <v>30.650784417050215</v>
      </c>
      <c r="J108" s="21">
        <f t="shared" si="58"/>
        <v>44.914541959383747</v>
      </c>
      <c r="K108" s="21">
        <f t="shared" si="58"/>
        <v>60.066777747966171</v>
      </c>
      <c r="L108" s="21">
        <f t="shared" si="58"/>
        <v>73.509349176120438</v>
      </c>
      <c r="M108" s="21">
        <f t="shared" si="58"/>
        <v>73.509349176120438</v>
      </c>
    </row>
    <row r="109" spans="1:13" x14ac:dyDescent="0.25">
      <c r="A109" s="2" t="s">
        <v>101</v>
      </c>
      <c r="B109" s="2">
        <v>0.9</v>
      </c>
      <c r="C109" s="2">
        <v>0.6</v>
      </c>
      <c r="D109" s="2">
        <v>0.3</v>
      </c>
      <c r="E109" s="2">
        <v>0.1</v>
      </c>
      <c r="H109" s="21">
        <f t="shared" ref="H109:M109" si="59">VLOOKUP(H76,$A$96:$G$103,7,FALSE)</f>
        <v>19.96105586053843</v>
      </c>
      <c r="I109" s="21">
        <f t="shared" si="59"/>
        <v>28.377349455208687</v>
      </c>
      <c r="J109" s="21">
        <f t="shared" si="59"/>
        <v>38.629570659055489</v>
      </c>
      <c r="K109" s="21">
        <f t="shared" si="59"/>
        <v>50</v>
      </c>
      <c r="L109" s="21">
        <f t="shared" si="59"/>
        <v>61.370429340944519</v>
      </c>
      <c r="M109" s="21">
        <f t="shared" si="59"/>
        <v>61.370429340944519</v>
      </c>
    </row>
    <row r="110" spans="1:13" x14ac:dyDescent="0.25">
      <c r="A110" s="2" t="s">
        <v>108</v>
      </c>
      <c r="B110" s="2">
        <v>0.2</v>
      </c>
      <c r="C110" s="2">
        <v>0.5</v>
      </c>
      <c r="D110" s="2">
        <v>0.6</v>
      </c>
      <c r="E110" s="2">
        <v>0.8</v>
      </c>
      <c r="H110" s="21">
        <f>100-H82</f>
        <v>72.312180512438985</v>
      </c>
      <c r="I110" s="21">
        <f t="shared" ref="I110:M110" si="60">100-I82</f>
        <v>61.016361094281059</v>
      </c>
      <c r="J110" s="21">
        <f t="shared" si="60"/>
        <v>44.028635073280704</v>
      </c>
      <c r="K110" s="21">
        <f t="shared" si="60"/>
        <v>31.691190513781493</v>
      </c>
      <c r="L110" s="21">
        <f t="shared" si="60"/>
        <v>18.663881413677345</v>
      </c>
      <c r="M110" s="21">
        <f t="shared" si="60"/>
        <v>11.425462619547133</v>
      </c>
    </row>
    <row r="114" spans="1:13" x14ac:dyDescent="0.25">
      <c r="A114" s="1" t="s">
        <v>99</v>
      </c>
    </row>
    <row r="115" spans="1:13" x14ac:dyDescent="0.25">
      <c r="A115" s="6" t="s">
        <v>0</v>
      </c>
      <c r="H115" s="21"/>
      <c r="I115" s="21"/>
      <c r="J115" s="21"/>
      <c r="K115" s="21">
        <f>K107*$B107</f>
        <v>4.4587053714170226</v>
      </c>
      <c r="L115" s="21">
        <f>L107*$B107</f>
        <v>3.0271146121091008</v>
      </c>
      <c r="M115" s="21">
        <f>M107*$B107</f>
        <v>2.0762883172461444</v>
      </c>
    </row>
    <row r="116" spans="1:13" x14ac:dyDescent="0.25">
      <c r="A116" s="6" t="s">
        <v>86</v>
      </c>
      <c r="H116" s="21"/>
      <c r="I116" s="21"/>
      <c r="J116" s="21">
        <f>J107*$C107</f>
        <v>16.831447548296083</v>
      </c>
      <c r="K116" s="21">
        <f>K107*$C107</f>
        <v>13.376116114251067</v>
      </c>
      <c r="L116" s="21">
        <f>L107*$C107</f>
        <v>9.0813438363273011</v>
      </c>
      <c r="M116" s="21">
        <f>M107*$C107</f>
        <v>6.2288649517384327</v>
      </c>
    </row>
    <row r="117" spans="1:13" x14ac:dyDescent="0.25">
      <c r="A117" s="6" t="s">
        <v>87</v>
      </c>
      <c r="H117" s="21">
        <f>H107*$D107</f>
        <v>39.26822203436042</v>
      </c>
      <c r="I117" s="21">
        <f>I107*$D107</f>
        <v>35.012021960541688</v>
      </c>
      <c r="J117" s="21">
        <f>J107*$D107</f>
        <v>28.052412580493474</v>
      </c>
      <c r="K117" s="21"/>
      <c r="L117" s="21"/>
      <c r="M117" s="21"/>
    </row>
    <row r="118" spans="1:13" x14ac:dyDescent="0.25">
      <c r="A118" s="6" t="s">
        <v>2</v>
      </c>
      <c r="H118" s="21">
        <f>H107*$E107</f>
        <v>70.682799661848762</v>
      </c>
      <c r="I118" s="21">
        <f>I107*$E107</f>
        <v>63.021639528975037</v>
      </c>
      <c r="J118" s="21"/>
      <c r="K118" s="21"/>
      <c r="L118" s="21"/>
      <c r="M118" s="21"/>
    </row>
    <row r="119" spans="1:13" x14ac:dyDescent="0.25">
      <c r="H119" s="9"/>
      <c r="I119" s="9"/>
    </row>
    <row r="120" spans="1:13" x14ac:dyDescent="0.25">
      <c r="A120" s="1" t="s">
        <v>104</v>
      </c>
      <c r="H120" s="9"/>
      <c r="I120" s="9"/>
    </row>
    <row r="121" spans="1:13" x14ac:dyDescent="0.25">
      <c r="A121" s="6" t="s">
        <v>0</v>
      </c>
      <c r="H121" s="21"/>
      <c r="I121" s="21"/>
      <c r="J121" s="21"/>
      <c r="K121" s="21">
        <f>K108*$B108</f>
        <v>48.053422198372942</v>
      </c>
      <c r="L121" s="21">
        <f>L108*$B108</f>
        <v>58.80747934089635</v>
      </c>
      <c r="M121" s="21">
        <f>M108*$B108</f>
        <v>58.80747934089635</v>
      </c>
    </row>
    <row r="122" spans="1:13" x14ac:dyDescent="0.25">
      <c r="A122" s="6" t="s">
        <v>86</v>
      </c>
      <c r="H122" s="21"/>
      <c r="I122" s="21"/>
      <c r="J122" s="21">
        <f>J108*$C108</f>
        <v>26.948725175630248</v>
      </c>
      <c r="K122" s="21">
        <f>K108*$C108</f>
        <v>36.0400666487797</v>
      </c>
      <c r="L122" s="21">
        <f>L108*$C108</f>
        <v>44.105609505672263</v>
      </c>
      <c r="M122" s="21">
        <f>M108*$C108</f>
        <v>44.105609505672263</v>
      </c>
    </row>
    <row r="123" spans="1:13" x14ac:dyDescent="0.25">
      <c r="A123" s="6" t="s">
        <v>87</v>
      </c>
      <c r="H123" s="21">
        <f>H108*$D108</f>
        <v>7.7309986284525145</v>
      </c>
      <c r="I123" s="21">
        <f>I108*$D108</f>
        <v>12.260313766820087</v>
      </c>
      <c r="J123" s="21">
        <f>J108*$D108</f>
        <v>17.9658167837535</v>
      </c>
      <c r="K123" s="21"/>
      <c r="L123" s="21"/>
      <c r="M123" s="21"/>
    </row>
    <row r="124" spans="1:13" x14ac:dyDescent="0.25">
      <c r="A124" s="6" t="s">
        <v>2</v>
      </c>
      <c r="H124" s="21">
        <f>H108*$E108</f>
        <v>3.8654993142262573</v>
      </c>
      <c r="I124" s="21">
        <f>I108*$E108</f>
        <v>6.1301568834100433</v>
      </c>
      <c r="J124" s="21"/>
      <c r="K124" s="21"/>
      <c r="L124" s="21"/>
      <c r="M124" s="21"/>
    </row>
    <row r="126" spans="1:13" x14ac:dyDescent="0.25">
      <c r="A126" s="1" t="s">
        <v>102</v>
      </c>
      <c r="H126" s="9"/>
      <c r="I126" s="9"/>
    </row>
    <row r="127" spans="1:13" x14ac:dyDescent="0.25">
      <c r="A127" s="6" t="s">
        <v>0</v>
      </c>
      <c r="H127" s="21"/>
      <c r="I127" s="21"/>
      <c r="J127" s="21"/>
      <c r="K127" s="21">
        <f>K109*$B109</f>
        <v>45</v>
      </c>
      <c r="L127" s="21">
        <f>L109*$B109</f>
        <v>55.233386406850066</v>
      </c>
      <c r="M127" s="21">
        <f>M109*$B109</f>
        <v>55.233386406850066</v>
      </c>
    </row>
    <row r="128" spans="1:13" x14ac:dyDescent="0.25">
      <c r="A128" s="6" t="s">
        <v>86</v>
      </c>
      <c r="H128" s="21"/>
      <c r="I128" s="21"/>
      <c r="J128" s="21">
        <f>J109*$C109</f>
        <v>23.177742395433292</v>
      </c>
      <c r="K128" s="21">
        <f>K109*$C109</f>
        <v>30</v>
      </c>
      <c r="L128" s="21">
        <f>L109*$C109</f>
        <v>36.822257604566708</v>
      </c>
      <c r="M128" s="21">
        <f>M109*$C109</f>
        <v>36.822257604566708</v>
      </c>
    </row>
    <row r="129" spans="1:27" x14ac:dyDescent="0.25">
      <c r="A129" s="6" t="s">
        <v>87</v>
      </c>
      <c r="H129" s="21">
        <f>H109*$D109</f>
        <v>5.9883167581615284</v>
      </c>
      <c r="I129" s="21">
        <f>I109*$D109</f>
        <v>8.5132048365626058</v>
      </c>
      <c r="J129" s="21">
        <f>J109*$D109</f>
        <v>11.588871197716646</v>
      </c>
      <c r="K129" s="21"/>
      <c r="L129" s="21"/>
      <c r="M129" s="21"/>
    </row>
    <row r="130" spans="1:27" x14ac:dyDescent="0.25">
      <c r="A130" s="6" t="s">
        <v>2</v>
      </c>
      <c r="H130" s="21">
        <f>H109*$E109</f>
        <v>1.996105586053843</v>
      </c>
      <c r="I130" s="21">
        <f>I109*$E109</f>
        <v>2.8377349455208689</v>
      </c>
      <c r="J130" s="21"/>
      <c r="K130" s="21"/>
      <c r="L130" s="21"/>
      <c r="M130" s="21"/>
    </row>
    <row r="132" spans="1:27" x14ac:dyDescent="0.25">
      <c r="A132" s="1" t="s">
        <v>108</v>
      </c>
      <c r="H132" s="9"/>
      <c r="I132" s="9"/>
    </row>
    <row r="133" spans="1:27" x14ac:dyDescent="0.25">
      <c r="A133" s="6" t="s">
        <v>0</v>
      </c>
      <c r="H133" s="21">
        <f t="shared" ref="H133:M133" si="61">H110*$B110</f>
        <v>14.462436102487798</v>
      </c>
      <c r="I133" s="21">
        <f t="shared" si="61"/>
        <v>12.203272218856213</v>
      </c>
      <c r="J133" s="21">
        <f t="shared" si="61"/>
        <v>8.8057270146561404</v>
      </c>
      <c r="K133" s="21">
        <f t="shared" si="61"/>
        <v>6.3382381027562991</v>
      </c>
      <c r="L133" s="21">
        <f t="shared" si="61"/>
        <v>3.7327762827354691</v>
      </c>
      <c r="M133" s="21">
        <f t="shared" si="61"/>
        <v>2.2850925239094266</v>
      </c>
    </row>
    <row r="134" spans="1:27" x14ac:dyDescent="0.25">
      <c r="A134" s="6" t="s">
        <v>86</v>
      </c>
      <c r="H134" s="21">
        <f t="shared" ref="H134:M134" si="62">H110*$C110</f>
        <v>36.156090256219493</v>
      </c>
      <c r="I134" s="21">
        <f t="shared" si="62"/>
        <v>30.50818054714053</v>
      </c>
      <c r="J134" s="21">
        <f t="shared" si="62"/>
        <v>22.014317536640352</v>
      </c>
      <c r="K134" s="21">
        <f t="shared" si="62"/>
        <v>15.845595256890746</v>
      </c>
      <c r="L134" s="21">
        <f t="shared" si="62"/>
        <v>9.3319407068386724</v>
      </c>
      <c r="M134" s="21">
        <f t="shared" si="62"/>
        <v>5.7127313097735666</v>
      </c>
    </row>
    <row r="135" spans="1:27" x14ac:dyDescent="0.25">
      <c r="A135" s="6" t="s">
        <v>87</v>
      </c>
      <c r="H135" s="21">
        <f t="shared" ref="H135:M135" si="63">H110*$D110</f>
        <v>43.387308307463393</v>
      </c>
      <c r="I135" s="21">
        <f t="shared" si="63"/>
        <v>36.609816656568633</v>
      </c>
      <c r="J135" s="21">
        <f t="shared" si="63"/>
        <v>26.417181043968423</v>
      </c>
      <c r="K135" s="21">
        <f t="shared" si="63"/>
        <v>19.014714308268896</v>
      </c>
      <c r="L135" s="21">
        <f t="shared" si="63"/>
        <v>11.198328848206407</v>
      </c>
      <c r="M135" s="21">
        <f t="shared" si="63"/>
        <v>6.8552775717282799</v>
      </c>
    </row>
    <row r="136" spans="1:27" x14ac:dyDescent="0.25">
      <c r="A136" s="6" t="s">
        <v>2</v>
      </c>
      <c r="H136" s="21">
        <f t="shared" ref="H136:M136" si="64">H110*$E110</f>
        <v>57.849744409951192</v>
      </c>
      <c r="I136" s="21">
        <f t="shared" si="64"/>
        <v>48.813088875424853</v>
      </c>
      <c r="J136" s="21">
        <f t="shared" si="64"/>
        <v>35.222908058624562</v>
      </c>
      <c r="K136" s="21">
        <f t="shared" si="64"/>
        <v>25.352952411025196</v>
      </c>
      <c r="L136" s="21">
        <f t="shared" si="64"/>
        <v>14.931105130941877</v>
      </c>
      <c r="M136" s="21">
        <f t="shared" si="64"/>
        <v>9.1403700956377065</v>
      </c>
    </row>
    <row r="138" spans="1:27" x14ac:dyDescent="0.25">
      <c r="A138" s="1" t="s">
        <v>105</v>
      </c>
      <c r="V138" s="26">
        <f t="shared" ref="V138:AA138" si="65">SUM(V139:V142)</f>
        <v>281.38752105922521</v>
      </c>
      <c r="W138" s="26">
        <f t="shared" si="65"/>
        <v>255.90943021982056</v>
      </c>
      <c r="X138" s="26">
        <f t="shared" si="65"/>
        <v>217.02514933521275</v>
      </c>
      <c r="Y138" s="26">
        <f t="shared" si="65"/>
        <v>243.47981041176189</v>
      </c>
      <c r="Z138" s="26">
        <f t="shared" si="65"/>
        <v>246.27134227514424</v>
      </c>
      <c r="AA138" s="26">
        <f t="shared" si="65"/>
        <v>227.26735762801894</v>
      </c>
    </row>
    <row r="139" spans="1:27" x14ac:dyDescent="0.25">
      <c r="A139" s="6" t="s">
        <v>0</v>
      </c>
      <c r="V139" s="21">
        <f t="shared" ref="V139:AA139" si="66">H115+H121+H127+H133</f>
        <v>14.462436102487798</v>
      </c>
      <c r="W139" s="21">
        <f t="shared" si="66"/>
        <v>12.203272218856213</v>
      </c>
      <c r="X139" s="21">
        <f t="shared" si="66"/>
        <v>8.8057270146561404</v>
      </c>
      <c r="Y139" s="21">
        <f t="shared" si="66"/>
        <v>103.85036567254626</v>
      </c>
      <c r="Z139" s="21">
        <f t="shared" si="66"/>
        <v>120.80075664259098</v>
      </c>
      <c r="AA139" s="21">
        <f t="shared" si="66"/>
        <v>118.40224658890199</v>
      </c>
    </row>
    <row r="140" spans="1:27" x14ac:dyDescent="0.25">
      <c r="A140" s="6" t="s">
        <v>86</v>
      </c>
      <c r="V140" s="21">
        <f t="shared" ref="V140:X142" si="67">H116+H122+H128+H134</f>
        <v>36.156090256219493</v>
      </c>
      <c r="W140" s="21">
        <f t="shared" si="67"/>
        <v>30.50818054714053</v>
      </c>
      <c r="X140" s="21">
        <f t="shared" si="67"/>
        <v>88.972232655999974</v>
      </c>
      <c r="Y140" s="21">
        <f t="shared" ref="Y140:AA142" si="68">K116+K122+K128+K134</f>
        <v>95.261778019921522</v>
      </c>
      <c r="Z140" s="21">
        <f t="shared" si="68"/>
        <v>99.34115165340495</v>
      </c>
      <c r="AA140" s="21">
        <f t="shared" si="68"/>
        <v>92.869463371750982</v>
      </c>
    </row>
    <row r="141" spans="1:27" x14ac:dyDescent="0.25">
      <c r="A141" s="6" t="s">
        <v>87</v>
      </c>
      <c r="V141" s="21">
        <f t="shared" si="67"/>
        <v>96.374845728437862</v>
      </c>
      <c r="W141" s="21">
        <f t="shared" si="67"/>
        <v>92.395357220493025</v>
      </c>
      <c r="X141" s="21">
        <f t="shared" si="67"/>
        <v>84.024281605932046</v>
      </c>
      <c r="Y141" s="21">
        <f t="shared" si="68"/>
        <v>19.014714308268896</v>
      </c>
      <c r="Z141" s="21">
        <f t="shared" si="68"/>
        <v>11.198328848206407</v>
      </c>
      <c r="AA141" s="21">
        <f t="shared" si="68"/>
        <v>6.8552775717282799</v>
      </c>
    </row>
    <row r="142" spans="1:27" x14ac:dyDescent="0.25">
      <c r="A142" s="6" t="s">
        <v>2</v>
      </c>
      <c r="V142" s="21">
        <f t="shared" si="67"/>
        <v>134.39414897208005</v>
      </c>
      <c r="W142" s="21">
        <f t="shared" si="67"/>
        <v>120.8026202333308</v>
      </c>
      <c r="X142" s="21">
        <f t="shared" si="67"/>
        <v>35.222908058624562</v>
      </c>
      <c r="Y142" s="21">
        <f t="shared" si="68"/>
        <v>25.352952411025196</v>
      </c>
      <c r="Z142" s="21">
        <f t="shared" si="68"/>
        <v>14.931105130941877</v>
      </c>
      <c r="AA142" s="21">
        <f t="shared" si="68"/>
        <v>9.1403700956377065</v>
      </c>
    </row>
    <row r="144" spans="1:27" x14ac:dyDescent="0.25">
      <c r="A144" s="1" t="s">
        <v>6</v>
      </c>
      <c r="V144" s="30">
        <f t="shared" ref="V144:AA144" si="69">PRODUCT(V85,V68,V51,V23,V10)</f>
        <v>2.8594047942682628</v>
      </c>
      <c r="W144" s="30">
        <f t="shared" si="69"/>
        <v>3.4183469348702817</v>
      </c>
      <c r="X144" s="30">
        <f t="shared" si="69"/>
        <v>4.8118825936532392</v>
      </c>
      <c r="Y144" s="30">
        <f t="shared" si="69"/>
        <v>4.6284808000930591</v>
      </c>
      <c r="Z144" s="30">
        <f t="shared" si="69"/>
        <v>5.5783247767606969</v>
      </c>
      <c r="AA144" s="30">
        <f t="shared" si="69"/>
        <v>3.6035794979645979</v>
      </c>
    </row>
    <row r="145" spans="1:28" x14ac:dyDescent="0.25">
      <c r="A145" s="6" t="s">
        <v>0</v>
      </c>
      <c r="V145" s="15">
        <f t="shared" ref="V145:AA145" si="70">V144</f>
        <v>2.8594047942682628</v>
      </c>
      <c r="W145" s="15">
        <f t="shared" si="70"/>
        <v>3.4183469348702817</v>
      </c>
      <c r="X145" s="15">
        <f t="shared" si="70"/>
        <v>4.8118825936532392</v>
      </c>
      <c r="Y145" s="15">
        <f t="shared" si="70"/>
        <v>4.6284808000930591</v>
      </c>
      <c r="Z145" s="15">
        <f t="shared" si="70"/>
        <v>5.5783247767606969</v>
      </c>
      <c r="AA145" s="15">
        <f t="shared" si="70"/>
        <v>3.6035794979645979</v>
      </c>
    </row>
    <row r="146" spans="1:28" x14ac:dyDescent="0.25">
      <c r="A146" s="6" t="s">
        <v>86</v>
      </c>
      <c r="V146" s="15">
        <f t="shared" ref="V146:AA146" si="71">V144</f>
        <v>2.8594047942682628</v>
      </c>
      <c r="W146" s="15">
        <f t="shared" si="71"/>
        <v>3.4183469348702817</v>
      </c>
      <c r="X146" s="15">
        <f t="shared" si="71"/>
        <v>4.8118825936532392</v>
      </c>
      <c r="Y146" s="15">
        <f t="shared" si="71"/>
        <v>4.6284808000930591</v>
      </c>
      <c r="Z146" s="15">
        <f t="shared" si="71"/>
        <v>5.5783247767606969</v>
      </c>
      <c r="AA146" s="15">
        <f t="shared" si="71"/>
        <v>3.6035794979645979</v>
      </c>
    </row>
    <row r="147" spans="1:28" x14ac:dyDescent="0.25">
      <c r="A147" s="6" t="s">
        <v>87</v>
      </c>
      <c r="V147" s="15">
        <f t="shared" ref="V147:AA147" si="72">V144</f>
        <v>2.8594047942682628</v>
      </c>
      <c r="W147" s="15">
        <f t="shared" si="72"/>
        <v>3.4183469348702817</v>
      </c>
      <c r="X147" s="15">
        <f t="shared" si="72"/>
        <v>4.8118825936532392</v>
      </c>
      <c r="Y147" s="15">
        <f t="shared" si="72"/>
        <v>4.6284808000930591</v>
      </c>
      <c r="Z147" s="15">
        <f t="shared" si="72"/>
        <v>5.5783247767606969</v>
      </c>
      <c r="AA147" s="15">
        <f t="shared" si="72"/>
        <v>3.6035794979645979</v>
      </c>
    </row>
    <row r="148" spans="1:28" x14ac:dyDescent="0.25">
      <c r="A148" s="6" t="s">
        <v>2</v>
      </c>
      <c r="V148" s="15">
        <f t="shared" ref="V148:AA148" si="73">V144</f>
        <v>2.8594047942682628</v>
      </c>
      <c r="W148" s="15">
        <f t="shared" si="73"/>
        <v>3.4183469348702817</v>
      </c>
      <c r="X148" s="15">
        <f t="shared" si="73"/>
        <v>4.8118825936532392</v>
      </c>
      <c r="Y148" s="15">
        <f t="shared" si="73"/>
        <v>4.6284808000930591</v>
      </c>
      <c r="Z148" s="15">
        <f t="shared" si="73"/>
        <v>5.5783247767606969</v>
      </c>
      <c r="AA148" s="15">
        <f t="shared" si="73"/>
        <v>3.6035794979645979</v>
      </c>
    </row>
    <row r="149" spans="1:28" x14ac:dyDescent="0.25">
      <c r="V149" s="9"/>
      <c r="W149" s="9"/>
      <c r="X149" s="9"/>
      <c r="Y149" s="9"/>
      <c r="Z149" s="9"/>
      <c r="AA149" s="9"/>
    </row>
    <row r="150" spans="1:28" x14ac:dyDescent="0.25">
      <c r="A150" s="1" t="s">
        <v>115</v>
      </c>
      <c r="V150" s="9"/>
      <c r="W150" s="9"/>
      <c r="X150" s="9"/>
      <c r="Y150" s="9"/>
      <c r="Z150" s="9"/>
      <c r="AA150" s="9"/>
    </row>
    <row r="151" spans="1:28" x14ac:dyDescent="0.25">
      <c r="A151" s="6" t="s">
        <v>0</v>
      </c>
      <c r="V151" s="15">
        <f t="shared" ref="V151:AA151" si="74">V144*V91</f>
        <v>0</v>
      </c>
      <c r="W151" s="15">
        <f t="shared" si="74"/>
        <v>0</v>
      </c>
      <c r="X151" s="15">
        <f t="shared" si="74"/>
        <v>0</v>
      </c>
      <c r="Y151" s="15">
        <f t="shared" si="74"/>
        <v>0</v>
      </c>
      <c r="Z151" s="15">
        <f t="shared" si="74"/>
        <v>5.5783247767606969</v>
      </c>
      <c r="AA151" s="15">
        <f t="shared" si="74"/>
        <v>3.6035794979645979</v>
      </c>
    </row>
    <row r="152" spans="1:28" x14ac:dyDescent="0.25">
      <c r="A152" s="6" t="s">
        <v>86</v>
      </c>
      <c r="V152" s="15">
        <f t="shared" ref="V152" si="75">V145*V92</f>
        <v>0</v>
      </c>
      <c r="W152" s="15">
        <f t="shared" ref="W152" si="76">W145*W92</f>
        <v>0</v>
      </c>
      <c r="X152" s="15">
        <f t="shared" ref="X152" si="77">X145*X92</f>
        <v>0</v>
      </c>
      <c r="Y152" s="15">
        <f t="shared" ref="Y152" si="78">Y145*Y92</f>
        <v>4.6284808000930591</v>
      </c>
      <c r="Z152" s="15">
        <f t="shared" ref="Z152:AA154" si="79">Z145*Z92</f>
        <v>5.5783247767606969</v>
      </c>
      <c r="AA152" s="15">
        <f t="shared" si="79"/>
        <v>0</v>
      </c>
    </row>
    <row r="153" spans="1:28" x14ac:dyDescent="0.25">
      <c r="A153" s="6" t="s">
        <v>87</v>
      </c>
      <c r="V153" s="15">
        <f t="shared" ref="V153" si="80">V146*V93</f>
        <v>0</v>
      </c>
      <c r="W153" s="15">
        <f t="shared" ref="W153" si="81">W146*W93</f>
        <v>0</v>
      </c>
      <c r="X153" s="15">
        <f t="shared" ref="X153" si="82">X146*X93</f>
        <v>4.8118825936532392</v>
      </c>
      <c r="Y153" s="15">
        <f t="shared" ref="Y153" si="83">Y146*Y93</f>
        <v>4.6284808000930591</v>
      </c>
      <c r="Z153" s="15">
        <f t="shared" si="79"/>
        <v>0</v>
      </c>
      <c r="AA153" s="15">
        <f t="shared" si="79"/>
        <v>0</v>
      </c>
    </row>
    <row r="154" spans="1:28" x14ac:dyDescent="0.25">
      <c r="A154" s="6" t="s">
        <v>2</v>
      </c>
      <c r="V154" s="15">
        <f t="shared" ref="V154" si="84">V147*V94</f>
        <v>2.8594047942682628</v>
      </c>
      <c r="W154" s="15">
        <f t="shared" ref="W154" si="85">W147*W94</f>
        <v>3.4183469348702817</v>
      </c>
      <c r="X154" s="15">
        <f t="shared" ref="X154" si="86">X147*X94</f>
        <v>0</v>
      </c>
      <c r="Y154" s="15">
        <f t="shared" ref="Y154" si="87">Y147*Y94</f>
        <v>0</v>
      </c>
      <c r="Z154" s="15">
        <f t="shared" si="79"/>
        <v>0</v>
      </c>
      <c r="AA154" s="15">
        <f t="shared" si="79"/>
        <v>0</v>
      </c>
    </row>
    <row r="155" spans="1:28" x14ac:dyDescent="0.25">
      <c r="V155" s="9"/>
      <c r="W155" s="9"/>
      <c r="X155" s="9"/>
      <c r="Y155" s="9"/>
      <c r="Z155" s="9"/>
      <c r="AA155" s="9"/>
    </row>
    <row r="156" spans="1:28" x14ac:dyDescent="0.25">
      <c r="A156" s="1" t="s">
        <v>59</v>
      </c>
      <c r="B156" s="5" t="s">
        <v>116</v>
      </c>
      <c r="C156" s="5" t="s">
        <v>117</v>
      </c>
      <c r="D156" s="5" t="s">
        <v>41</v>
      </c>
      <c r="E156" s="5" t="s">
        <v>118</v>
      </c>
      <c r="V156" s="9"/>
      <c r="W156" s="9"/>
      <c r="X156" s="9"/>
      <c r="Y156" s="9"/>
      <c r="Z156" s="9"/>
      <c r="AA156" s="9"/>
    </row>
    <row r="157" spans="1:28" x14ac:dyDescent="0.25">
      <c r="A157" s="6" t="s">
        <v>0</v>
      </c>
      <c r="B157" s="4">
        <v>0.2</v>
      </c>
      <c r="C157" s="29">
        <v>0.25</v>
      </c>
      <c r="D157" s="4">
        <v>0.3</v>
      </c>
      <c r="E157" s="4">
        <v>0.35</v>
      </c>
      <c r="V157" s="15">
        <f>V139*V151</f>
        <v>0</v>
      </c>
      <c r="W157" s="15">
        <f t="shared" ref="W157:AA157" si="88">W139*W151</f>
        <v>0</v>
      </c>
      <c r="X157" s="15">
        <f t="shared" si="88"/>
        <v>0</v>
      </c>
      <c r="Y157" s="15">
        <f t="shared" si="88"/>
        <v>0</v>
      </c>
      <c r="Z157" s="15">
        <f t="shared" si="88"/>
        <v>673.86585383080467</v>
      </c>
      <c r="AA157" s="15">
        <f t="shared" si="88"/>
        <v>426.67190832071594</v>
      </c>
      <c r="AB157" s="31">
        <f>SUM(V157:AA157)*C157</f>
        <v>275.13444053788015</v>
      </c>
    </row>
    <row r="158" spans="1:28" x14ac:dyDescent="0.25">
      <c r="A158" s="6" t="s">
        <v>86</v>
      </c>
      <c r="B158" s="4">
        <v>0.2</v>
      </c>
      <c r="C158" s="29">
        <v>0.25</v>
      </c>
      <c r="D158" s="4">
        <v>0.3</v>
      </c>
      <c r="E158" s="4">
        <v>0.35</v>
      </c>
      <c r="V158" s="15">
        <f t="shared" ref="V158:AA158" si="89">V140*V152</f>
        <v>0</v>
      </c>
      <c r="W158" s="15">
        <f t="shared" si="89"/>
        <v>0</v>
      </c>
      <c r="X158" s="15">
        <f t="shared" si="89"/>
        <v>0</v>
      </c>
      <c r="Y158" s="15">
        <f t="shared" si="89"/>
        <v>440.91731054793377</v>
      </c>
      <c r="Z158" s="15">
        <f t="shared" si="89"/>
        <v>554.15720762013075</v>
      </c>
      <c r="AA158" s="15">
        <f t="shared" si="89"/>
        <v>0</v>
      </c>
      <c r="AB158" s="31">
        <f t="shared" ref="AB158:AB160" si="90">SUM(V158:AA158)*C158</f>
        <v>248.76862954201613</v>
      </c>
    </row>
    <row r="159" spans="1:28" x14ac:dyDescent="0.25">
      <c r="A159" s="6" t="s">
        <v>87</v>
      </c>
      <c r="B159" s="4">
        <v>0.2</v>
      </c>
      <c r="C159" s="29">
        <v>0.25</v>
      </c>
      <c r="D159" s="4">
        <v>0.3</v>
      </c>
      <c r="E159" s="4">
        <v>0.35</v>
      </c>
      <c r="V159" s="15">
        <f t="shared" ref="V159:AA159" si="91">V141*V153</f>
        <v>0</v>
      </c>
      <c r="W159" s="15">
        <f t="shared" si="91"/>
        <v>0</v>
      </c>
      <c r="X159" s="15">
        <f t="shared" si="91"/>
        <v>404.31497810380245</v>
      </c>
      <c r="Y159" s="15">
        <f t="shared" si="91"/>
        <v>88.009240095077359</v>
      </c>
      <c r="Z159" s="15">
        <f t="shared" si="91"/>
        <v>0</v>
      </c>
      <c r="AA159" s="15">
        <f t="shared" si="91"/>
        <v>0</v>
      </c>
      <c r="AB159" s="31">
        <f t="shared" si="90"/>
        <v>123.08105454971995</v>
      </c>
    </row>
    <row r="160" spans="1:28" x14ac:dyDescent="0.25">
      <c r="A160" s="6" t="s">
        <v>2</v>
      </c>
      <c r="B160" s="4">
        <v>0.2</v>
      </c>
      <c r="C160" s="29">
        <v>0.25</v>
      </c>
      <c r="D160" s="4">
        <v>0.3</v>
      </c>
      <c r="E160" s="4">
        <v>0.35</v>
      </c>
      <c r="V160" s="15">
        <f t="shared" ref="V160:AA160" si="92">V142*V154</f>
        <v>384.28727389236883</v>
      </c>
      <c r="W160" s="15">
        <f t="shared" si="92"/>
        <v>412.94526659890499</v>
      </c>
      <c r="X160" s="15">
        <f t="shared" si="92"/>
        <v>0</v>
      </c>
      <c r="Y160" s="15">
        <f t="shared" si="92"/>
        <v>0</v>
      </c>
      <c r="Z160" s="15">
        <f t="shared" si="92"/>
        <v>0</v>
      </c>
      <c r="AA160" s="15">
        <f t="shared" si="92"/>
        <v>0</v>
      </c>
      <c r="AB160" s="31">
        <f t="shared" si="90"/>
        <v>199.30813512281844</v>
      </c>
    </row>
    <row r="162" spans="1:28" x14ac:dyDescent="0.25">
      <c r="A162" s="1" t="s">
        <v>50</v>
      </c>
    </row>
    <row r="163" spans="1:28" x14ac:dyDescent="0.25">
      <c r="A163" s="6" t="s">
        <v>0</v>
      </c>
      <c r="V163" s="28">
        <f>V157/SUM($V157:$AB157)</f>
        <v>0</v>
      </c>
      <c r="W163" s="28">
        <f t="shared" ref="W163:AA163" si="93">W157/SUM($V157:$AB157)</f>
        <v>0</v>
      </c>
      <c r="X163" s="28">
        <f t="shared" si="93"/>
        <v>0</v>
      </c>
      <c r="Y163" s="28">
        <f t="shared" si="93"/>
        <v>0</v>
      </c>
      <c r="Z163" s="28">
        <f t="shared" si="93"/>
        <v>0.4898447846175969</v>
      </c>
      <c r="AA163" s="28">
        <f t="shared" si="93"/>
        <v>0.31015521538240304</v>
      </c>
      <c r="AB163" s="27">
        <f>SUM(V163:AA163)</f>
        <v>0.79999999999999993</v>
      </c>
    </row>
    <row r="164" spans="1:28" x14ac:dyDescent="0.25">
      <c r="A164" s="6" t="s">
        <v>86</v>
      </c>
      <c r="V164" s="28">
        <f t="shared" ref="V164:AA164" si="94">V158/SUM($V158:$AB158)</f>
        <v>0</v>
      </c>
      <c r="W164" s="28">
        <f t="shared" si="94"/>
        <v>0</v>
      </c>
      <c r="X164" s="28">
        <f t="shared" si="94"/>
        <v>0</v>
      </c>
      <c r="Y164" s="28">
        <f t="shared" si="94"/>
        <v>0.35447983241268316</v>
      </c>
      <c r="Z164" s="28">
        <f t="shared" si="94"/>
        <v>0.44552016758731672</v>
      </c>
      <c r="AA164" s="28">
        <f t="shared" si="94"/>
        <v>0</v>
      </c>
      <c r="AB164" s="27">
        <f t="shared" ref="AB164:AB166" si="95">SUM(V164:AA164)</f>
        <v>0.79999999999999982</v>
      </c>
    </row>
    <row r="165" spans="1:28" x14ac:dyDescent="0.25">
      <c r="A165" s="6" t="s">
        <v>87</v>
      </c>
      <c r="V165" s="28">
        <f t="shared" ref="V165:AA165" si="96">V159/SUM($V159:$AB159)</f>
        <v>0</v>
      </c>
      <c r="W165" s="28">
        <f t="shared" si="96"/>
        <v>0</v>
      </c>
      <c r="X165" s="28">
        <f t="shared" si="96"/>
        <v>0.65698978544333964</v>
      </c>
      <c r="Y165" s="28">
        <f t="shared" si="96"/>
        <v>0.14301021455666041</v>
      </c>
      <c r="Z165" s="28">
        <f t="shared" si="96"/>
        <v>0</v>
      </c>
      <c r="AA165" s="28">
        <f t="shared" si="96"/>
        <v>0</v>
      </c>
      <c r="AB165" s="27">
        <f t="shared" si="95"/>
        <v>0.8</v>
      </c>
    </row>
    <row r="166" spans="1:28" x14ac:dyDescent="0.25">
      <c r="A166" s="6" t="s">
        <v>2</v>
      </c>
      <c r="V166" s="28">
        <f t="shared" ref="V166:AA166" si="97">V160/SUM($V160:$AB160)</f>
        <v>0.38562126293095045</v>
      </c>
      <c r="W166" s="28">
        <f t="shared" si="97"/>
        <v>0.41437873706904965</v>
      </c>
      <c r="X166" s="28">
        <f t="shared" si="97"/>
        <v>0</v>
      </c>
      <c r="Y166" s="28">
        <f t="shared" si="97"/>
        <v>0</v>
      </c>
      <c r="Z166" s="28">
        <f t="shared" si="97"/>
        <v>0</v>
      </c>
      <c r="AA166" s="28">
        <f t="shared" si="97"/>
        <v>0</v>
      </c>
      <c r="AB166" s="27">
        <f t="shared" si="95"/>
        <v>0.8</v>
      </c>
    </row>
    <row r="169" spans="1:28" x14ac:dyDescent="0.25">
      <c r="A169" s="1" t="s">
        <v>119</v>
      </c>
      <c r="V169" s="26">
        <f t="shared" ref="V169:AA169" si="98">SUM(V170:V173)</f>
        <v>694.11827327571086</v>
      </c>
      <c r="W169" s="26">
        <f t="shared" si="98"/>
        <v>745.88172672428936</v>
      </c>
      <c r="X169" s="26">
        <f t="shared" si="98"/>
        <v>854.08672107634152</v>
      </c>
      <c r="Y169" s="26">
        <f t="shared" si="98"/>
        <v>629.01306943951249</v>
      </c>
      <c r="Z169" s="26">
        <f t="shared" si="98"/>
        <v>850.80708025470403</v>
      </c>
      <c r="AA169" s="26">
        <f t="shared" si="98"/>
        <v>186.09312922944181</v>
      </c>
    </row>
    <row r="170" spans="1:28" x14ac:dyDescent="0.25">
      <c r="A170" s="6" t="s">
        <v>0</v>
      </c>
      <c r="B170" t="s">
        <v>42</v>
      </c>
      <c r="V170" s="21">
        <f t="shared" ref="V170:AA170" si="99">V163*$B$3</f>
        <v>0</v>
      </c>
      <c r="W170" s="21">
        <f t="shared" si="99"/>
        <v>0</v>
      </c>
      <c r="X170" s="21">
        <f t="shared" si="99"/>
        <v>0</v>
      </c>
      <c r="Y170" s="21">
        <f t="shared" si="99"/>
        <v>0</v>
      </c>
      <c r="Z170" s="21">
        <f t="shared" si="99"/>
        <v>293.90687077055816</v>
      </c>
      <c r="AA170" s="21">
        <f t="shared" si="99"/>
        <v>186.09312922944181</v>
      </c>
    </row>
    <row r="171" spans="1:28" x14ac:dyDescent="0.25">
      <c r="A171" s="6" t="s">
        <v>86</v>
      </c>
      <c r="V171" s="21">
        <f t="shared" ref="V171:AA171" si="100">V164*$C$3</f>
        <v>0</v>
      </c>
      <c r="W171" s="21">
        <f t="shared" si="100"/>
        <v>0</v>
      </c>
      <c r="X171" s="21">
        <f t="shared" si="100"/>
        <v>0</v>
      </c>
      <c r="Y171" s="21">
        <f t="shared" si="100"/>
        <v>443.09979051585395</v>
      </c>
      <c r="Z171" s="21">
        <f t="shared" si="100"/>
        <v>556.90020948414588</v>
      </c>
      <c r="AA171" s="21">
        <f t="shared" si="100"/>
        <v>0</v>
      </c>
    </row>
    <row r="172" spans="1:28" x14ac:dyDescent="0.25">
      <c r="A172" s="6" t="s">
        <v>87</v>
      </c>
      <c r="V172" s="21">
        <f t="shared" ref="V172:AA172" si="101">V165*$D$3</f>
        <v>0</v>
      </c>
      <c r="W172" s="21">
        <f t="shared" si="101"/>
        <v>0</v>
      </c>
      <c r="X172" s="21">
        <f t="shared" si="101"/>
        <v>854.08672107634152</v>
      </c>
      <c r="Y172" s="21">
        <f t="shared" si="101"/>
        <v>185.91327892365854</v>
      </c>
      <c r="Z172" s="21">
        <f t="shared" si="101"/>
        <v>0</v>
      </c>
      <c r="AA172" s="21">
        <f t="shared" si="101"/>
        <v>0</v>
      </c>
    </row>
    <row r="173" spans="1:28" x14ac:dyDescent="0.25">
      <c r="A173" s="6" t="s">
        <v>2</v>
      </c>
      <c r="V173" s="21">
        <f t="shared" ref="V173:AA173" si="102">V166*$E$3</f>
        <v>694.11827327571086</v>
      </c>
      <c r="W173" s="21">
        <f t="shared" si="102"/>
        <v>745.88172672428936</v>
      </c>
      <c r="X173" s="21">
        <f t="shared" si="102"/>
        <v>0</v>
      </c>
      <c r="Y173" s="21">
        <f t="shared" si="102"/>
        <v>0</v>
      </c>
      <c r="Z173" s="21">
        <f t="shared" si="102"/>
        <v>0</v>
      </c>
      <c r="AA173" s="21">
        <f t="shared" si="102"/>
        <v>0</v>
      </c>
    </row>
    <row r="175" spans="1:28" x14ac:dyDescent="0.25">
      <c r="A175" s="1" t="s">
        <v>120</v>
      </c>
      <c r="V175" s="32">
        <f>V169*H80*$D$78</f>
        <v>1665883.855861706</v>
      </c>
      <c r="W175" s="32">
        <f t="shared" ref="W175:AA175" si="103">W169*I80*$D$78</f>
        <v>2362953.3102625487</v>
      </c>
      <c r="X175" s="32">
        <f t="shared" si="103"/>
        <v>3587164.2285206341</v>
      </c>
      <c r="Y175" s="32">
        <f t="shared" si="103"/>
        <v>3140033.2426420464</v>
      </c>
      <c r="Z175" s="32">
        <f t="shared" si="103"/>
        <v>5145681.2213804498</v>
      </c>
      <c r="AA175" s="32">
        <f t="shared" si="103"/>
        <v>1286275.7092339019</v>
      </c>
    </row>
    <row r="176" spans="1:28" x14ac:dyDescent="0.25">
      <c r="A176" s="8" t="s">
        <v>51</v>
      </c>
      <c r="V176" s="32">
        <f>V169*H78*$D$78</f>
        <v>832941.92793085298</v>
      </c>
      <c r="W176" s="32">
        <f t="shared" ref="W176:AA176" si="104">W169*I78*$D$78</f>
        <v>1074069.6864829767</v>
      </c>
      <c r="X176" s="32">
        <f t="shared" si="104"/>
        <v>1434865.6914082535</v>
      </c>
      <c r="Y176" s="32">
        <f t="shared" si="104"/>
        <v>1207705.093323864</v>
      </c>
      <c r="Z176" s="32">
        <f t="shared" si="104"/>
        <v>1837743.2933501608</v>
      </c>
      <c r="AA176" s="32">
        <f t="shared" si="104"/>
        <v>401961.15913559432</v>
      </c>
    </row>
    <row r="177" spans="1:27" x14ac:dyDescent="0.25">
      <c r="A177" s="8" t="s">
        <v>121</v>
      </c>
      <c r="V177" s="2"/>
      <c r="W177" s="2"/>
      <c r="X177" s="2"/>
      <c r="Y177" s="2"/>
      <c r="Z177" s="2"/>
      <c r="AA177" s="2"/>
    </row>
    <row r="178" spans="1:27" x14ac:dyDescent="0.25">
      <c r="A178" s="1" t="s">
        <v>61</v>
      </c>
      <c r="V178" s="33">
        <f>V175-V176</f>
        <v>832941.92793085298</v>
      </c>
      <c r="W178" s="33">
        <f t="shared" ref="W178:AA178" si="105">W175-W176</f>
        <v>1288883.6237795721</v>
      </c>
      <c r="X178" s="33">
        <f t="shared" si="105"/>
        <v>2152298.5371123804</v>
      </c>
      <c r="Y178" s="33">
        <f t="shared" si="105"/>
        <v>1932328.1493181824</v>
      </c>
      <c r="Z178" s="33">
        <f t="shared" si="105"/>
        <v>3307937.9280302888</v>
      </c>
      <c r="AA178" s="33">
        <f t="shared" si="105"/>
        <v>884314.55009830766</v>
      </c>
    </row>
    <row r="179" spans="1:27" x14ac:dyDescent="0.25">
      <c r="A179" s="8" t="s">
        <v>122</v>
      </c>
      <c r="V179" s="2">
        <f t="shared" ref="V179:AA180" si="106">O9</f>
        <v>115000</v>
      </c>
      <c r="W179" s="2">
        <f t="shared" si="106"/>
        <v>115000</v>
      </c>
      <c r="X179" s="2">
        <f t="shared" si="106"/>
        <v>115000</v>
      </c>
      <c r="Y179" s="2">
        <f t="shared" si="106"/>
        <v>115000</v>
      </c>
      <c r="Z179" s="2">
        <f t="shared" si="106"/>
        <v>115000</v>
      </c>
      <c r="AA179" s="2">
        <f t="shared" si="106"/>
        <v>115000</v>
      </c>
    </row>
    <row r="180" spans="1:27" x14ac:dyDescent="0.25">
      <c r="A180" s="8" t="s">
        <v>123</v>
      </c>
      <c r="V180" s="2">
        <f t="shared" si="106"/>
        <v>105000</v>
      </c>
      <c r="W180" s="2">
        <f t="shared" si="106"/>
        <v>90000</v>
      </c>
      <c r="X180" s="2">
        <f t="shared" si="106"/>
        <v>123000</v>
      </c>
      <c r="Y180" s="2">
        <f t="shared" si="106"/>
        <v>125000</v>
      </c>
      <c r="Z180" s="2">
        <f t="shared" si="106"/>
        <v>123000</v>
      </c>
      <c r="AA180" s="2">
        <f t="shared" si="106"/>
        <v>105000</v>
      </c>
    </row>
    <row r="181" spans="1:27" x14ac:dyDescent="0.25">
      <c r="A181" s="8" t="s">
        <v>124</v>
      </c>
      <c r="V181" s="2">
        <f t="shared" ref="V181:AA181" si="107">O23</f>
        <v>175000</v>
      </c>
      <c r="W181" s="2">
        <f t="shared" si="107"/>
        <v>150000</v>
      </c>
      <c r="X181" s="2">
        <f t="shared" si="107"/>
        <v>213000</v>
      </c>
      <c r="Y181" s="2">
        <f t="shared" si="107"/>
        <v>173500</v>
      </c>
      <c r="Z181" s="2">
        <f t="shared" si="107"/>
        <v>305000</v>
      </c>
      <c r="AA181" s="2">
        <f t="shared" si="107"/>
        <v>155000</v>
      </c>
    </row>
    <row r="182" spans="1:27" x14ac:dyDescent="0.25">
      <c r="A182" s="8" t="s">
        <v>125</v>
      </c>
      <c r="V182" s="2">
        <f t="shared" ref="V182:AA182" si="108">O51</f>
        <v>165000</v>
      </c>
      <c r="W182" s="2">
        <f t="shared" si="108"/>
        <v>360000</v>
      </c>
      <c r="X182" s="2">
        <f t="shared" si="108"/>
        <v>355000</v>
      </c>
      <c r="Y182" s="2">
        <f t="shared" si="108"/>
        <v>320000</v>
      </c>
      <c r="Z182" s="2">
        <f t="shared" si="108"/>
        <v>306000</v>
      </c>
      <c r="AA182" s="2">
        <f t="shared" si="108"/>
        <v>190000</v>
      </c>
    </row>
    <row r="183" spans="1:27" x14ac:dyDescent="0.25">
      <c r="A183" s="8" t="s">
        <v>126</v>
      </c>
      <c r="V183" s="2">
        <f t="shared" ref="V183:AA183" si="109">O68</f>
        <v>101800</v>
      </c>
      <c r="W183" s="2">
        <f t="shared" si="109"/>
        <v>144500</v>
      </c>
      <c r="X183" s="2">
        <f t="shared" si="109"/>
        <v>139000</v>
      </c>
      <c r="Y183" s="2">
        <f t="shared" si="109"/>
        <v>183500</v>
      </c>
      <c r="Z183" s="2">
        <f t="shared" si="109"/>
        <v>128000</v>
      </c>
      <c r="AA183" s="2">
        <f t="shared" si="109"/>
        <v>122500</v>
      </c>
    </row>
    <row r="184" spans="1:27" x14ac:dyDescent="0.25">
      <c r="A184" s="1" t="s">
        <v>127</v>
      </c>
      <c r="V184" s="33">
        <f t="shared" ref="V184:AA184" si="110">V178-SUM(V179:V183)</f>
        <v>171141.92793085298</v>
      </c>
      <c r="W184" s="33">
        <f t="shared" si="110"/>
        <v>429383.62377957208</v>
      </c>
      <c r="X184" s="33">
        <f t="shared" si="110"/>
        <v>1207298.5371123804</v>
      </c>
      <c r="Y184" s="33">
        <f t="shared" si="110"/>
        <v>1015328.1493181824</v>
      </c>
      <c r="Z184" s="33">
        <f t="shared" si="110"/>
        <v>2330937.9280302888</v>
      </c>
      <c r="AA184" s="33">
        <f t="shared" si="110"/>
        <v>196814.55009830766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6731-8133-4F45-983A-89891EF7957D}">
  <dimension ref="A1:U22"/>
  <sheetViews>
    <sheetView tabSelected="1" zoomScaleNormal="100" workbookViewId="0">
      <selection activeCell="H1" sqref="H1"/>
    </sheetView>
  </sheetViews>
  <sheetFormatPr defaultRowHeight="15" x14ac:dyDescent="0.25"/>
  <cols>
    <col min="2" max="2" width="13.42578125" bestFit="1" customWidth="1"/>
    <col min="5" max="5" width="12" style="61" bestFit="1" customWidth="1"/>
    <col min="6" max="8" width="9.140625" style="61"/>
    <col min="9" max="12" width="9.140625" style="8"/>
    <col min="15" max="15" width="17" bestFit="1" customWidth="1"/>
    <col min="16" max="17" width="17" customWidth="1"/>
    <col min="18" max="18" width="26.140625" bestFit="1" customWidth="1"/>
    <col min="19" max="19" width="12.42578125" bestFit="1" customWidth="1"/>
    <col min="20" max="20" width="16.140625" bestFit="1" customWidth="1"/>
    <col min="21" max="21" width="15.5703125" bestFit="1" customWidth="1"/>
  </cols>
  <sheetData>
    <row r="1" spans="1:21" x14ac:dyDescent="0.25">
      <c r="E1" s="61" t="s">
        <v>243</v>
      </c>
      <c r="F1" s="65">
        <v>500</v>
      </c>
      <c r="I1" s="66">
        <v>800</v>
      </c>
      <c r="N1" s="2"/>
      <c r="O1" s="2"/>
      <c r="P1" s="2"/>
      <c r="Q1" s="2"/>
      <c r="R1" s="2" t="s">
        <v>263</v>
      </c>
      <c r="S1" s="2"/>
      <c r="T1" s="2"/>
      <c r="U1" s="2"/>
    </row>
    <row r="2" spans="1:21" x14ac:dyDescent="0.25">
      <c r="E2" s="61" t="s">
        <v>238</v>
      </c>
      <c r="F2" s="61" t="s">
        <v>239</v>
      </c>
      <c r="G2" s="61" t="s">
        <v>240</v>
      </c>
      <c r="H2" s="61" t="s">
        <v>241</v>
      </c>
      <c r="I2" s="8" t="s">
        <v>242</v>
      </c>
      <c r="J2" s="8" t="s">
        <v>244</v>
      </c>
      <c r="K2" s="8" t="s">
        <v>245</v>
      </c>
      <c r="L2" s="8" t="s">
        <v>246</v>
      </c>
      <c r="M2" t="s">
        <v>247</v>
      </c>
      <c r="N2" s="2"/>
      <c r="O2" s="6" t="s">
        <v>266</v>
      </c>
      <c r="P2" s="6" t="s">
        <v>267</v>
      </c>
      <c r="Q2" s="6" t="s">
        <v>268</v>
      </c>
      <c r="R2" s="6" t="s">
        <v>262</v>
      </c>
      <c r="S2" s="6" t="s">
        <v>265</v>
      </c>
      <c r="T2" s="6" t="s">
        <v>269</v>
      </c>
      <c r="U2" s="6" t="s">
        <v>270</v>
      </c>
    </row>
    <row r="3" spans="1:21" x14ac:dyDescent="0.25">
      <c r="B3" s="60" t="s">
        <v>233</v>
      </c>
      <c r="E3" s="61">
        <v>0</v>
      </c>
      <c r="F3" s="61">
        <v>500</v>
      </c>
      <c r="G3" s="61">
        <v>500</v>
      </c>
      <c r="H3" s="61">
        <v>500</v>
      </c>
      <c r="I3" s="8">
        <v>500</v>
      </c>
      <c r="J3" s="8">
        <v>800</v>
      </c>
      <c r="K3" s="8">
        <v>800</v>
      </c>
      <c r="L3" s="8">
        <v>800</v>
      </c>
      <c r="M3">
        <v>800</v>
      </c>
      <c r="N3" s="2" t="s">
        <v>255</v>
      </c>
      <c r="O3" s="6">
        <v>0</v>
      </c>
      <c r="P3" s="2"/>
      <c r="Q3" s="2"/>
      <c r="R3" s="6">
        <f>2400/4</f>
        <v>600</v>
      </c>
      <c r="S3" s="2">
        <v>0</v>
      </c>
      <c r="T3" s="2"/>
      <c r="U3" s="2">
        <v>600</v>
      </c>
    </row>
    <row r="4" spans="1:21" x14ac:dyDescent="0.25">
      <c r="F4" s="62">
        <v>0.85</v>
      </c>
      <c r="G4" s="62">
        <v>0.88</v>
      </c>
      <c r="H4" s="62">
        <v>0.9</v>
      </c>
      <c r="I4" s="63">
        <v>0.88</v>
      </c>
      <c r="N4" s="2" t="s">
        <v>256</v>
      </c>
      <c r="O4" s="6"/>
      <c r="P4" s="6">
        <v>425</v>
      </c>
      <c r="Q4" s="6">
        <f>O4+P4</f>
        <v>425</v>
      </c>
      <c r="R4" s="2">
        <v>600</v>
      </c>
      <c r="S4" s="2">
        <v>425</v>
      </c>
      <c r="T4" s="6">
        <v>0</v>
      </c>
      <c r="U4" s="6">
        <v>175</v>
      </c>
    </row>
    <row r="5" spans="1:21" x14ac:dyDescent="0.25">
      <c r="B5" t="s">
        <v>234</v>
      </c>
      <c r="C5" t="s">
        <v>237</v>
      </c>
      <c r="F5" s="61">
        <f>F3*F4</f>
        <v>425</v>
      </c>
      <c r="G5" s="61">
        <f>G3*G4</f>
        <v>440</v>
      </c>
      <c r="H5" s="61">
        <f>H3*H4</f>
        <v>450</v>
      </c>
      <c r="I5" s="8">
        <f>I3*I4</f>
        <v>440</v>
      </c>
      <c r="N5" s="2" t="s">
        <v>257</v>
      </c>
      <c r="O5" s="2"/>
      <c r="P5" s="2">
        <v>440</v>
      </c>
      <c r="Q5" s="6">
        <f t="shared" ref="Q5:Q10" si="0">O5+P5</f>
        <v>440</v>
      </c>
      <c r="R5" s="2">
        <v>600</v>
      </c>
      <c r="S5" s="2">
        <v>440</v>
      </c>
      <c r="T5" s="2">
        <v>0</v>
      </c>
      <c r="U5" s="2">
        <v>160</v>
      </c>
    </row>
    <row r="6" spans="1:21" x14ac:dyDescent="0.25">
      <c r="B6" t="s">
        <v>235</v>
      </c>
      <c r="C6" t="s">
        <v>236</v>
      </c>
      <c r="N6" s="2" t="s">
        <v>258</v>
      </c>
      <c r="O6" s="2"/>
      <c r="P6" s="2">
        <v>450</v>
      </c>
      <c r="Q6" s="6">
        <f t="shared" si="0"/>
        <v>450</v>
      </c>
      <c r="R6" s="2">
        <v>600</v>
      </c>
      <c r="S6" s="2">
        <v>450</v>
      </c>
      <c r="T6" s="2">
        <v>0</v>
      </c>
      <c r="U6" s="6">
        <v>140</v>
      </c>
    </row>
    <row r="7" spans="1:21" x14ac:dyDescent="0.25">
      <c r="I7" s="8">
        <v>800</v>
      </c>
      <c r="J7" s="8">
        <v>800</v>
      </c>
      <c r="K7" s="8">
        <v>800</v>
      </c>
      <c r="L7" s="8">
        <v>800</v>
      </c>
      <c r="N7" s="2" t="s">
        <v>259</v>
      </c>
      <c r="O7" s="2"/>
      <c r="P7" s="2">
        <f>440+760</f>
        <v>1200</v>
      </c>
      <c r="Q7" s="6">
        <f t="shared" si="0"/>
        <v>1200</v>
      </c>
      <c r="R7" s="2">
        <f>2800/4</f>
        <v>700</v>
      </c>
      <c r="S7" s="2">
        <v>700</v>
      </c>
      <c r="T7" s="2">
        <v>500</v>
      </c>
      <c r="U7" s="2">
        <v>0</v>
      </c>
    </row>
    <row r="8" spans="1:21" x14ac:dyDescent="0.25">
      <c r="A8" t="s">
        <v>235</v>
      </c>
      <c r="B8">
        <v>5</v>
      </c>
      <c r="C8">
        <v>4.5</v>
      </c>
      <c r="D8">
        <v>4</v>
      </c>
      <c r="I8" s="63">
        <v>0.95</v>
      </c>
      <c r="J8" s="63">
        <v>0.98</v>
      </c>
      <c r="K8" s="63">
        <v>0.98</v>
      </c>
      <c r="L8" s="63">
        <v>1</v>
      </c>
      <c r="N8" s="2" t="s">
        <v>260</v>
      </c>
      <c r="O8" s="6">
        <v>500</v>
      </c>
      <c r="P8" s="6">
        <v>784</v>
      </c>
      <c r="Q8" s="6">
        <f t="shared" si="0"/>
        <v>1284</v>
      </c>
      <c r="R8" s="2">
        <f t="shared" ref="R8:R10" si="1">2800/4</f>
        <v>700</v>
      </c>
      <c r="S8" s="2">
        <v>700</v>
      </c>
      <c r="T8" s="2">
        <f>Q8-R8</f>
        <v>584</v>
      </c>
      <c r="U8" s="6">
        <v>0</v>
      </c>
    </row>
    <row r="9" spans="1:21" x14ac:dyDescent="0.25">
      <c r="A9" t="s">
        <v>249</v>
      </c>
      <c r="B9" t="s">
        <v>248</v>
      </c>
      <c r="C9" t="s">
        <v>250</v>
      </c>
      <c r="D9" t="s">
        <v>251</v>
      </c>
      <c r="I9" s="8">
        <f>I7*I8</f>
        <v>760</v>
      </c>
      <c r="J9" s="8">
        <f>J7*J8</f>
        <v>784</v>
      </c>
      <c r="K9" s="8">
        <f>K7*K8</f>
        <v>784</v>
      </c>
      <c r="L9" s="8">
        <f>L7*L8</f>
        <v>800</v>
      </c>
      <c r="N9" s="2" t="s">
        <v>261</v>
      </c>
      <c r="O9" s="6">
        <f>T8</f>
        <v>584</v>
      </c>
      <c r="P9" s="6">
        <v>784</v>
      </c>
      <c r="Q9" s="6">
        <f t="shared" si="0"/>
        <v>1368</v>
      </c>
      <c r="R9" s="2">
        <f t="shared" si="1"/>
        <v>700</v>
      </c>
      <c r="S9" s="2">
        <v>700</v>
      </c>
      <c r="T9" s="2">
        <f>Q9-R9</f>
        <v>668</v>
      </c>
      <c r="U9" s="6">
        <v>0</v>
      </c>
    </row>
    <row r="10" spans="1:21" x14ac:dyDescent="0.25">
      <c r="A10" t="s">
        <v>252</v>
      </c>
      <c r="N10" s="2" t="s">
        <v>264</v>
      </c>
      <c r="O10" s="6">
        <f>T9</f>
        <v>668</v>
      </c>
      <c r="P10" s="2">
        <v>800</v>
      </c>
      <c r="Q10" s="6">
        <f t="shared" si="0"/>
        <v>1468</v>
      </c>
      <c r="R10" s="2">
        <f t="shared" si="1"/>
        <v>700</v>
      </c>
      <c r="S10" s="2">
        <v>700</v>
      </c>
      <c r="T10" s="2">
        <f>Q10-R10</f>
        <v>768</v>
      </c>
      <c r="U10" s="6">
        <v>0</v>
      </c>
    </row>
    <row r="13" spans="1:21" x14ac:dyDescent="0.25">
      <c r="B13" t="s">
        <v>234</v>
      </c>
      <c r="C13" t="s">
        <v>253</v>
      </c>
      <c r="Q13" s="60" t="s">
        <v>272</v>
      </c>
      <c r="R13" s="60" t="s">
        <v>273</v>
      </c>
    </row>
    <row r="14" spans="1:21" x14ac:dyDescent="0.25">
      <c r="B14" t="s">
        <v>235</v>
      </c>
      <c r="C14" t="s">
        <v>254</v>
      </c>
      <c r="P14" s="60" t="s">
        <v>271</v>
      </c>
      <c r="Q14">
        <v>100</v>
      </c>
      <c r="R14">
        <v>150</v>
      </c>
    </row>
    <row r="15" spans="1:21" x14ac:dyDescent="0.25">
      <c r="P15" s="60" t="s">
        <v>274</v>
      </c>
      <c r="Q15">
        <v>200</v>
      </c>
      <c r="R15">
        <v>150</v>
      </c>
    </row>
    <row r="17" spans="16:18" x14ac:dyDescent="0.25">
      <c r="Q17" s="64">
        <f>Q14/600</f>
        <v>0.16666666666666666</v>
      </c>
      <c r="R17" s="64">
        <f>R14/600</f>
        <v>0.25</v>
      </c>
    </row>
    <row r="18" spans="16:18" x14ac:dyDescent="0.25">
      <c r="Q18" s="64">
        <f>Q15/600</f>
        <v>0.33333333333333331</v>
      </c>
      <c r="R18" s="64">
        <f>R15/600</f>
        <v>0.25</v>
      </c>
    </row>
    <row r="21" spans="16:18" x14ac:dyDescent="0.25">
      <c r="P21" t="s">
        <v>275</v>
      </c>
      <c r="Q21">
        <f>Q17*425</f>
        <v>70.833333333333329</v>
      </c>
      <c r="R21">
        <f>R17*425</f>
        <v>106.25</v>
      </c>
    </row>
    <row r="22" spans="16:18" x14ac:dyDescent="0.25">
      <c r="Q22">
        <f>Q18*425</f>
        <v>141.66666666666666</v>
      </c>
      <c r="R22">
        <f>R18*425</f>
        <v>106.25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31B2-79F2-4CEE-A846-2812F04E9339}">
  <dimension ref="A1:D16"/>
  <sheetViews>
    <sheetView zoomScaleNormal="100" workbookViewId="0">
      <selection activeCell="B20" sqref="B20"/>
    </sheetView>
  </sheetViews>
  <sheetFormatPr defaultColWidth="8.7109375" defaultRowHeight="15" x14ac:dyDescent="0.25"/>
  <cols>
    <col min="1" max="1" width="25" style="34" customWidth="1"/>
    <col min="2" max="2" width="15" style="34" customWidth="1"/>
    <col min="3" max="16384" width="8.7109375" style="34"/>
  </cols>
  <sheetData>
    <row r="1" spans="1:4" ht="18" x14ac:dyDescent="0.25">
      <c r="A1" s="57" t="s">
        <v>133</v>
      </c>
      <c r="B1" s="57"/>
      <c r="C1" s="57"/>
      <c r="D1" s="57"/>
    </row>
    <row r="3" spans="1:4" x14ac:dyDescent="0.25">
      <c r="A3" s="34" t="s">
        <v>134</v>
      </c>
      <c r="B3" s="35" t="s">
        <v>45</v>
      </c>
    </row>
    <row r="4" spans="1:4" x14ac:dyDescent="0.25">
      <c r="A4" s="34" t="s">
        <v>135</v>
      </c>
      <c r="B4" s="35">
        <v>1</v>
      </c>
    </row>
    <row r="6" spans="1:4" x14ac:dyDescent="0.25">
      <c r="A6" s="58" t="s">
        <v>136</v>
      </c>
      <c r="B6" s="58"/>
      <c r="C6" s="58"/>
      <c r="D6" s="58"/>
    </row>
    <row r="8" spans="1:4" x14ac:dyDescent="0.25">
      <c r="A8" s="34" t="s">
        <v>137</v>
      </c>
      <c r="B8" s="53">
        <v>500000</v>
      </c>
    </row>
    <row r="9" spans="1:4" x14ac:dyDescent="0.25">
      <c r="A9" s="34" t="s">
        <v>138</v>
      </c>
      <c r="B9" s="53">
        <v>300000</v>
      </c>
    </row>
    <row r="10" spans="1:4" x14ac:dyDescent="0.25">
      <c r="A10" s="34" t="s">
        <v>139</v>
      </c>
      <c r="B10" s="37">
        <v>0.12</v>
      </c>
    </row>
    <row r="11" spans="1:4" x14ac:dyDescent="0.25">
      <c r="A11" s="34" t="s">
        <v>140</v>
      </c>
      <c r="B11" s="54">
        <f>B8+B9</f>
        <v>800000</v>
      </c>
    </row>
    <row r="13" spans="1:4" x14ac:dyDescent="0.25">
      <c r="A13" s="58" t="s">
        <v>141</v>
      </c>
      <c r="B13" s="58"/>
      <c r="C13" s="58"/>
      <c r="D13" s="58"/>
    </row>
    <row r="15" spans="1:4" x14ac:dyDescent="0.25">
      <c r="A15" s="34" t="s">
        <v>142</v>
      </c>
      <c r="B15" s="35">
        <v>100</v>
      </c>
    </row>
    <row r="16" spans="1:4" x14ac:dyDescent="0.25">
      <c r="A16" s="34" t="s">
        <v>143</v>
      </c>
      <c r="B16" s="35">
        <v>30</v>
      </c>
    </row>
  </sheetData>
  <mergeCells count="3">
    <mergeCell ref="A1:D1"/>
    <mergeCell ref="A6:D6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0742-EA63-4D1D-8E4A-E59CEBFA85D1}">
  <dimension ref="A1:E13"/>
  <sheetViews>
    <sheetView zoomScaleNormal="100" workbookViewId="0">
      <selection sqref="A1:E1"/>
    </sheetView>
  </sheetViews>
  <sheetFormatPr defaultColWidth="8.7109375" defaultRowHeight="15" x14ac:dyDescent="0.25"/>
  <cols>
    <col min="1" max="1" width="25" style="34" customWidth="1"/>
    <col min="2" max="2" width="8.7109375" style="34"/>
    <col min="3" max="5" width="15" style="34" customWidth="1"/>
    <col min="6" max="16384" width="8.7109375" style="34"/>
  </cols>
  <sheetData>
    <row r="1" spans="1:5" ht="15.75" x14ac:dyDescent="0.25">
      <c r="A1" s="59" t="s">
        <v>144</v>
      </c>
      <c r="B1" s="59"/>
      <c r="C1" s="59"/>
      <c r="D1" s="59"/>
      <c r="E1" s="59"/>
    </row>
    <row r="3" spans="1:5" x14ac:dyDescent="0.25">
      <c r="A3" s="38" t="s">
        <v>145</v>
      </c>
    </row>
    <row r="5" spans="1:5" x14ac:dyDescent="0.25">
      <c r="A5" s="58" t="s">
        <v>146</v>
      </c>
      <c r="B5" s="58"/>
      <c r="C5" s="58"/>
      <c r="D5" s="58"/>
      <c r="E5" s="58"/>
    </row>
    <row r="6" spans="1:5" x14ac:dyDescent="0.25">
      <c r="C6" s="39" t="s">
        <v>147</v>
      </c>
      <c r="D6" s="39" t="s">
        <v>148</v>
      </c>
      <c r="E6" s="39" t="s">
        <v>149</v>
      </c>
    </row>
    <row r="7" spans="1:5" x14ac:dyDescent="0.25">
      <c r="A7" s="34" t="s">
        <v>150</v>
      </c>
      <c r="C7" s="40">
        <v>1.1499999999999999</v>
      </c>
      <c r="D7" s="40">
        <v>1.18</v>
      </c>
      <c r="E7" s="40">
        <v>1.22</v>
      </c>
    </row>
    <row r="9" spans="1:5" x14ac:dyDescent="0.25">
      <c r="A9" s="58" t="s">
        <v>151</v>
      </c>
      <c r="B9" s="58"/>
      <c r="C9" s="58"/>
      <c r="D9" s="58"/>
      <c r="E9" s="58"/>
    </row>
    <row r="10" spans="1:5" x14ac:dyDescent="0.25">
      <c r="A10" s="34" t="s">
        <v>152</v>
      </c>
      <c r="C10" s="36">
        <v>165000</v>
      </c>
    </row>
    <row r="11" spans="1:5" x14ac:dyDescent="0.25">
      <c r="A11" s="34" t="s">
        <v>153</v>
      </c>
      <c r="C11" s="36">
        <v>140000</v>
      </c>
    </row>
    <row r="12" spans="1:5" x14ac:dyDescent="0.25">
      <c r="A12" s="34" t="s">
        <v>154</v>
      </c>
      <c r="C12" s="36">
        <v>165000</v>
      </c>
      <c r="D12" s="36">
        <v>165000</v>
      </c>
      <c r="E12" s="36">
        <v>165000</v>
      </c>
    </row>
    <row r="13" spans="1:5" x14ac:dyDescent="0.25">
      <c r="A13" s="34" t="s">
        <v>155</v>
      </c>
      <c r="C13" s="36">
        <v>144500</v>
      </c>
      <c r="D13" s="36">
        <v>144500</v>
      </c>
      <c r="E13" s="36">
        <v>144500</v>
      </c>
    </row>
  </sheetData>
  <mergeCells count="3">
    <mergeCell ref="A1:E1"/>
    <mergeCell ref="A5:E5"/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7EB5-B44E-4A13-A298-69E1E7B39EDA}">
  <dimension ref="A1:E30"/>
  <sheetViews>
    <sheetView zoomScaleNormal="100" workbookViewId="0">
      <selection activeCell="C10" sqref="C10"/>
    </sheetView>
  </sheetViews>
  <sheetFormatPr defaultColWidth="8.7109375" defaultRowHeight="15" x14ac:dyDescent="0.25"/>
  <cols>
    <col min="1" max="1" width="30" style="34" customWidth="1"/>
    <col min="2" max="2" width="8.7109375" style="34"/>
    <col min="3" max="5" width="15" style="34" customWidth="1"/>
    <col min="6" max="16384" width="8.7109375" style="34"/>
  </cols>
  <sheetData>
    <row r="1" spans="1:5" ht="15.75" x14ac:dyDescent="0.25">
      <c r="A1" s="59" t="s">
        <v>156</v>
      </c>
      <c r="B1" s="59"/>
      <c r="C1" s="59"/>
      <c r="D1" s="59"/>
      <c r="E1" s="59"/>
    </row>
    <row r="2" spans="1:5" x14ac:dyDescent="0.25">
      <c r="A2" s="34" t="s">
        <v>157</v>
      </c>
      <c r="B2" s="41" t="str">
        <f>Setup!B3</f>
        <v>Player 1</v>
      </c>
    </row>
    <row r="4" spans="1:5" x14ac:dyDescent="0.25">
      <c r="A4" s="42" t="s">
        <v>158</v>
      </c>
      <c r="C4" s="42" t="s">
        <v>147</v>
      </c>
      <c r="D4" s="42" t="s">
        <v>148</v>
      </c>
      <c r="E4" s="42" t="s">
        <v>149</v>
      </c>
    </row>
    <row r="6" spans="1:5" x14ac:dyDescent="0.25">
      <c r="A6" s="58" t="s">
        <v>159</v>
      </c>
      <c r="B6" s="58"/>
      <c r="C6" s="58"/>
      <c r="D6" s="58"/>
      <c r="E6" s="58"/>
    </row>
    <row r="7" spans="1:5" x14ac:dyDescent="0.25">
      <c r="A7" s="34" t="s">
        <v>160</v>
      </c>
      <c r="C7" s="43">
        <f>Setup!$B$15*Setup!$B$16*12*Inputs!C$7</f>
        <v>41400</v>
      </c>
      <c r="D7" s="43">
        <f>Setup!$B$15*Setup!$B$16*12*Inputs!D$7*1.05</f>
        <v>44604</v>
      </c>
      <c r="E7" s="43">
        <f>Setup!$B$15*Setup!$B$16*12*Inputs!E$7*1.08</f>
        <v>47433.600000000006</v>
      </c>
    </row>
    <row r="8" spans="1:5" x14ac:dyDescent="0.25">
      <c r="A8" s="34" t="s">
        <v>161</v>
      </c>
      <c r="C8" s="43">
        <f>Setup!$B$15*Setup!$B$16*10*Inputs!C$7</f>
        <v>34500</v>
      </c>
      <c r="D8" s="43">
        <f>Setup!$B$15*Setup!$B$16*10*Inputs!D$7*1.05</f>
        <v>37170</v>
      </c>
      <c r="E8" s="43">
        <f>Setup!$B$15*Setup!$B$16*10*Inputs!E$7*1.08</f>
        <v>39528</v>
      </c>
    </row>
    <row r="9" spans="1:5" x14ac:dyDescent="0.25">
      <c r="A9" s="34" t="s">
        <v>162</v>
      </c>
      <c r="C9" s="43">
        <f>Setup!$B$15*Setup!$B$16*8*Inputs!C$7</f>
        <v>27599.999999999996</v>
      </c>
      <c r="D9" s="43">
        <f>Setup!$B$15*Setup!$B$16*8*Inputs!D$7*1.05</f>
        <v>29736</v>
      </c>
      <c r="E9" s="43">
        <f>Setup!$B$15*Setup!$B$16*8*Inputs!E$7*1.08</f>
        <v>31622.400000000001</v>
      </c>
    </row>
    <row r="10" spans="1:5" x14ac:dyDescent="0.25">
      <c r="A10" s="34" t="s">
        <v>163</v>
      </c>
      <c r="C10" s="43">
        <f>Setup!$B$15*Setup!$B$16*6*Inputs!C$7</f>
        <v>20700</v>
      </c>
      <c r="D10" s="43">
        <f>Setup!$B$15*Setup!$B$16*6*Inputs!D$7*1.05</f>
        <v>22302</v>
      </c>
      <c r="E10" s="43">
        <f>Setup!$B$15*Setup!$B$16*6*Inputs!E$7*1.08</f>
        <v>23716.800000000003</v>
      </c>
    </row>
    <row r="11" spans="1:5" x14ac:dyDescent="0.25">
      <c r="A11" s="39" t="s">
        <v>164</v>
      </c>
      <c r="C11" s="44">
        <f>SUM(C7:C10)</f>
        <v>124200</v>
      </c>
      <c r="D11" s="44">
        <f>SUM(D7:D10)</f>
        <v>133812</v>
      </c>
      <c r="E11" s="44">
        <f>SUM(E7:E10)</f>
        <v>142300.79999999999</v>
      </c>
    </row>
    <row r="13" spans="1:5" x14ac:dyDescent="0.25">
      <c r="A13" s="58" t="s">
        <v>165</v>
      </c>
      <c r="B13" s="58"/>
      <c r="C13" s="58"/>
      <c r="D13" s="58"/>
      <c r="E13" s="58"/>
    </row>
    <row r="14" spans="1:5" x14ac:dyDescent="0.25">
      <c r="A14" s="34" t="s">
        <v>166</v>
      </c>
      <c r="C14" s="43">
        <f>C11*0.4</f>
        <v>49680</v>
      </c>
      <c r="D14" s="43">
        <f>D11*0.4</f>
        <v>53524.800000000003</v>
      </c>
      <c r="E14" s="43">
        <f>E11*0.4</f>
        <v>56920.32</v>
      </c>
    </row>
    <row r="15" spans="1:5" x14ac:dyDescent="0.25">
      <c r="A15" s="34" t="s">
        <v>167</v>
      </c>
      <c r="C15" s="43">
        <f>C11*0.15</f>
        <v>18630</v>
      </c>
      <c r="D15" s="43">
        <f>D11*0.15</f>
        <v>20071.8</v>
      </c>
      <c r="E15" s="43">
        <f>E11*0.15</f>
        <v>21345.119999999999</v>
      </c>
    </row>
    <row r="16" spans="1:5" x14ac:dyDescent="0.25">
      <c r="A16" s="39" t="s">
        <v>168</v>
      </c>
      <c r="C16" s="44">
        <f>SUM(C14:C15)</f>
        <v>68310</v>
      </c>
      <c r="D16" s="44">
        <f>SUM(D14:D15)</f>
        <v>73596.600000000006</v>
      </c>
      <c r="E16" s="44">
        <f>SUM(E14:E15)</f>
        <v>78265.440000000002</v>
      </c>
    </row>
    <row r="17" spans="1:5" x14ac:dyDescent="0.25">
      <c r="A17" s="39" t="s">
        <v>169</v>
      </c>
      <c r="C17" s="44">
        <f>C11-C16</f>
        <v>55890</v>
      </c>
      <c r="D17" s="44">
        <f>D11-D16</f>
        <v>60215.399999999994</v>
      </c>
      <c r="E17" s="44">
        <f>E11-E16</f>
        <v>64035.359999999986</v>
      </c>
    </row>
    <row r="19" spans="1:5" x14ac:dyDescent="0.25">
      <c r="A19" s="58" t="s">
        <v>170</v>
      </c>
      <c r="B19" s="58"/>
      <c r="C19" s="58"/>
      <c r="D19" s="58"/>
      <c r="E19" s="58"/>
    </row>
    <row r="20" spans="1:5" x14ac:dyDescent="0.25">
      <c r="A20" s="34" t="s">
        <v>171</v>
      </c>
      <c r="C20" s="43">
        <f>Inputs!C9/12</f>
        <v>0</v>
      </c>
      <c r="D20" s="43">
        <f>Inputs!C9/12</f>
        <v>0</v>
      </c>
      <c r="E20" s="43">
        <f>Inputs!C9/12</f>
        <v>0</v>
      </c>
    </row>
    <row r="21" spans="1:5" x14ac:dyDescent="0.25">
      <c r="A21" s="34" t="s">
        <v>172</v>
      </c>
      <c r="C21" s="43">
        <f>Inputs!C10/12</f>
        <v>13750</v>
      </c>
      <c r="D21" s="43">
        <f>Inputs!C10/12</f>
        <v>13750</v>
      </c>
      <c r="E21" s="43">
        <f>Inputs!C10/12</f>
        <v>13750</v>
      </c>
    </row>
    <row r="22" spans="1:5" x14ac:dyDescent="0.25">
      <c r="A22" s="34" t="s">
        <v>173</v>
      </c>
      <c r="C22" s="45">
        <f>Inputs!C11</f>
        <v>140000</v>
      </c>
      <c r="D22" s="45">
        <f>Inputs!D11</f>
        <v>0</v>
      </c>
      <c r="E22" s="45">
        <f>Inputs!E11</f>
        <v>0</v>
      </c>
    </row>
    <row r="23" spans="1:5" x14ac:dyDescent="0.25">
      <c r="A23" s="34" t="s">
        <v>174</v>
      </c>
      <c r="C23" s="45">
        <f>Inputs!C12</f>
        <v>165000</v>
      </c>
      <c r="D23" s="45">
        <f>Inputs!D12</f>
        <v>165000</v>
      </c>
      <c r="E23" s="45">
        <f>Inputs!E12</f>
        <v>165000</v>
      </c>
    </row>
    <row r="24" spans="1:5" x14ac:dyDescent="0.25">
      <c r="A24" s="34" t="s">
        <v>175</v>
      </c>
      <c r="C24" s="43">
        <v>25000</v>
      </c>
      <c r="D24" s="43">
        <v>25000</v>
      </c>
      <c r="E24" s="43">
        <v>25000</v>
      </c>
    </row>
    <row r="25" spans="1:5" x14ac:dyDescent="0.25">
      <c r="A25" s="39" t="s">
        <v>176</v>
      </c>
      <c r="C25" s="44">
        <f>SUM(C20:C24)</f>
        <v>343750</v>
      </c>
      <c r="D25" s="44">
        <f>SUM(D20:D24)</f>
        <v>203750</v>
      </c>
      <c r="E25" s="44">
        <f>SUM(E20:E24)</f>
        <v>203750</v>
      </c>
    </row>
    <row r="26" spans="1:5" x14ac:dyDescent="0.25">
      <c r="A26" s="39" t="s">
        <v>177</v>
      </c>
      <c r="C26" s="46">
        <f>C17-C25</f>
        <v>-287860</v>
      </c>
      <c r="D26" s="46">
        <f>D17-D25</f>
        <v>-143534.6</v>
      </c>
      <c r="E26" s="46">
        <f>E17-E25</f>
        <v>-139714.64000000001</v>
      </c>
    </row>
    <row r="27" spans="1:5" x14ac:dyDescent="0.25">
      <c r="A27" s="34" t="s">
        <v>178</v>
      </c>
      <c r="C27" s="43">
        <v>5000</v>
      </c>
      <c r="D27" s="43">
        <v>5000</v>
      </c>
      <c r="E27" s="43">
        <v>5000</v>
      </c>
    </row>
    <row r="28" spans="1:5" x14ac:dyDescent="0.25">
      <c r="A28" s="39" t="s">
        <v>179</v>
      </c>
      <c r="C28" s="44">
        <f>C26-C27</f>
        <v>-292860</v>
      </c>
      <c r="D28" s="44">
        <f>D26-D27</f>
        <v>-148534.6</v>
      </c>
      <c r="E28" s="44">
        <f>E26-E27</f>
        <v>-144714.64000000001</v>
      </c>
    </row>
    <row r="29" spans="1:5" x14ac:dyDescent="0.25">
      <c r="A29" s="34" t="s">
        <v>180</v>
      </c>
      <c r="C29" s="45">
        <f>Setup!$B$9*Setup!$B$10/12</f>
        <v>3000</v>
      </c>
      <c r="D29" s="45">
        <f>Setup!$B$9*Setup!$B$10/12</f>
        <v>3000</v>
      </c>
      <c r="E29" s="45">
        <f>Setup!$B$9*Setup!$B$10/12</f>
        <v>3000</v>
      </c>
    </row>
    <row r="30" spans="1:5" ht="15.75" x14ac:dyDescent="0.25">
      <c r="A30" s="47" t="s">
        <v>181</v>
      </c>
      <c r="C30" s="48">
        <f>C28-C29</f>
        <v>-295860</v>
      </c>
      <c r="D30" s="48">
        <f>D28-D29</f>
        <v>-151534.6</v>
      </c>
      <c r="E30" s="48">
        <f>E28-E29</f>
        <v>-147714.64000000001</v>
      </c>
    </row>
  </sheetData>
  <mergeCells count="4">
    <mergeCell ref="A1:E1"/>
    <mergeCell ref="A6:E6"/>
    <mergeCell ref="A13:E13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838F-8707-4BFB-87C7-C66A3D951BBD}">
  <dimension ref="A1:E36"/>
  <sheetViews>
    <sheetView topLeftCell="A5" zoomScaleNormal="100" workbookViewId="0">
      <selection sqref="A1:E1"/>
    </sheetView>
  </sheetViews>
  <sheetFormatPr defaultColWidth="8.7109375" defaultRowHeight="15" x14ac:dyDescent="0.25"/>
  <cols>
    <col min="1" max="1" width="30" style="34" customWidth="1"/>
    <col min="2" max="5" width="15" style="34" customWidth="1"/>
    <col min="6" max="16384" width="8.7109375" style="34"/>
  </cols>
  <sheetData>
    <row r="1" spans="1:5" ht="15.75" x14ac:dyDescent="0.25">
      <c r="A1" s="59" t="s">
        <v>182</v>
      </c>
      <c r="B1" s="59"/>
      <c r="C1" s="59"/>
      <c r="D1" s="59"/>
      <c r="E1" s="59"/>
    </row>
    <row r="2" spans="1:5" x14ac:dyDescent="0.25">
      <c r="A2" s="34" t="s">
        <v>157</v>
      </c>
      <c r="B2" s="41" t="str">
        <f>Setup!B3</f>
        <v>Player 1</v>
      </c>
    </row>
    <row r="4" spans="1:5" x14ac:dyDescent="0.25">
      <c r="A4" s="42" t="s">
        <v>183</v>
      </c>
      <c r="B4" s="42" t="s">
        <v>184</v>
      </c>
      <c r="C4" s="42" t="s">
        <v>147</v>
      </c>
      <c r="D4" s="42" t="s">
        <v>148</v>
      </c>
      <c r="E4" s="42" t="s">
        <v>149</v>
      </c>
    </row>
    <row r="6" spans="1:5" x14ac:dyDescent="0.25">
      <c r="A6" s="58" t="s">
        <v>185</v>
      </c>
      <c r="B6" s="58"/>
      <c r="C6" s="58"/>
      <c r="D6" s="58"/>
      <c r="E6" s="58"/>
    </row>
    <row r="7" spans="1:5" x14ac:dyDescent="0.25">
      <c r="A7" s="49" t="s">
        <v>186</v>
      </c>
    </row>
    <row r="8" spans="1:5" x14ac:dyDescent="0.25">
      <c r="A8" s="34" t="s">
        <v>187</v>
      </c>
      <c r="B8" s="45">
        <f>Setup!B11</f>
        <v>800000</v>
      </c>
      <c r="C8" s="45">
        <f>B8+CashFlow!C30</f>
        <v>800000</v>
      </c>
      <c r="D8" s="45">
        <f>C8+CashFlow!D30</f>
        <v>800000</v>
      </c>
      <c r="E8" s="45">
        <f>D8+CashFlow!E30</f>
        <v>800000</v>
      </c>
    </row>
    <row r="9" spans="1:5" x14ac:dyDescent="0.25">
      <c r="A9" s="34" t="s">
        <v>188</v>
      </c>
      <c r="B9" s="43">
        <v>0</v>
      </c>
      <c r="C9" s="43">
        <v>25000</v>
      </c>
      <c r="D9" s="43">
        <v>28000</v>
      </c>
      <c r="E9" s="43">
        <v>32000</v>
      </c>
    </row>
    <row r="10" spans="1:5" x14ac:dyDescent="0.25">
      <c r="A10" s="34" t="s">
        <v>189</v>
      </c>
      <c r="B10" s="43">
        <v>50000</v>
      </c>
      <c r="C10" s="43">
        <v>55000</v>
      </c>
      <c r="D10" s="43">
        <v>58000</v>
      </c>
      <c r="E10" s="43">
        <v>62000</v>
      </c>
    </row>
    <row r="11" spans="1:5" x14ac:dyDescent="0.25">
      <c r="A11" s="39" t="s">
        <v>190</v>
      </c>
      <c r="B11" s="44">
        <f>SUM(B8:B10)</f>
        <v>850000</v>
      </c>
      <c r="C11" s="44">
        <f>SUM(C8:C10)</f>
        <v>880000</v>
      </c>
      <c r="D11" s="44">
        <f>SUM(D8:D10)</f>
        <v>886000</v>
      </c>
      <c r="E11" s="44">
        <f>SUM(E8:E10)</f>
        <v>894000</v>
      </c>
    </row>
    <row r="13" spans="1:5" x14ac:dyDescent="0.25">
      <c r="A13" s="49" t="s">
        <v>191</v>
      </c>
    </row>
    <row r="14" spans="1:5" x14ac:dyDescent="0.25">
      <c r="A14" s="34" t="s">
        <v>192</v>
      </c>
      <c r="B14" s="43">
        <v>100000</v>
      </c>
      <c r="C14" s="43">
        <v>100000</v>
      </c>
      <c r="D14" s="43">
        <v>100000</v>
      </c>
      <c r="E14" s="43">
        <v>100000</v>
      </c>
    </row>
    <row r="15" spans="1:5" x14ac:dyDescent="0.25">
      <c r="A15" s="34" t="s">
        <v>193</v>
      </c>
      <c r="B15" s="43">
        <v>0</v>
      </c>
      <c r="C15" s="43">
        <v>-5000</v>
      </c>
      <c r="D15" s="43">
        <v>-10000</v>
      </c>
      <c r="E15" s="43">
        <v>-15000</v>
      </c>
    </row>
    <row r="16" spans="1:5" x14ac:dyDescent="0.25">
      <c r="A16" s="34" t="s">
        <v>194</v>
      </c>
      <c r="B16" s="43">
        <v>50000</v>
      </c>
      <c r="C16" s="43">
        <v>50000</v>
      </c>
      <c r="D16" s="43">
        <v>50000</v>
      </c>
      <c r="E16" s="43">
        <v>50000</v>
      </c>
    </row>
    <row r="17" spans="1:5" x14ac:dyDescent="0.25">
      <c r="A17" s="39" t="s">
        <v>195</v>
      </c>
      <c r="B17" s="44">
        <f>SUM(B13:B15)</f>
        <v>100000</v>
      </c>
      <c r="C17" s="44">
        <f>SUM(C13:C15)</f>
        <v>95000</v>
      </c>
      <c r="D17" s="44">
        <f>SUM(D13:D15)</f>
        <v>90000</v>
      </c>
      <c r="E17" s="44">
        <f>SUM(E13:E15)</f>
        <v>85000</v>
      </c>
    </row>
    <row r="18" spans="1:5" ht="15.75" x14ac:dyDescent="0.25">
      <c r="A18" s="47" t="s">
        <v>196</v>
      </c>
      <c r="B18" s="48">
        <f>B11+B17</f>
        <v>950000</v>
      </c>
      <c r="C18" s="48">
        <f>C11+C17</f>
        <v>975000</v>
      </c>
      <c r="D18" s="48">
        <f>D11+D17</f>
        <v>976000</v>
      </c>
      <c r="E18" s="48">
        <f>E11+E17</f>
        <v>979000</v>
      </c>
    </row>
    <row r="20" spans="1:5" x14ac:dyDescent="0.25">
      <c r="A20" s="58" t="s">
        <v>197</v>
      </c>
      <c r="B20" s="58"/>
      <c r="C20" s="58"/>
      <c r="D20" s="58"/>
      <c r="E20" s="58"/>
    </row>
    <row r="21" spans="1:5" x14ac:dyDescent="0.25">
      <c r="A21" s="49" t="s">
        <v>198</v>
      </c>
    </row>
    <row r="22" spans="1:5" x14ac:dyDescent="0.25">
      <c r="A22" s="34" t="s">
        <v>199</v>
      </c>
      <c r="B22" s="43">
        <v>30000</v>
      </c>
      <c r="C22" s="43">
        <v>35000</v>
      </c>
      <c r="D22" s="43">
        <v>38000</v>
      </c>
      <c r="E22" s="43">
        <v>42000</v>
      </c>
    </row>
    <row r="23" spans="1:5" x14ac:dyDescent="0.25">
      <c r="A23" s="34" t="s">
        <v>200</v>
      </c>
      <c r="B23" s="43">
        <v>15000</v>
      </c>
      <c r="C23" s="43">
        <v>18000</v>
      </c>
      <c r="D23" s="43">
        <v>20000</v>
      </c>
      <c r="E23" s="43">
        <v>22000</v>
      </c>
    </row>
    <row r="24" spans="1:5" x14ac:dyDescent="0.25">
      <c r="A24" s="39" t="s">
        <v>201</v>
      </c>
      <c r="B24" s="44">
        <f>SUM(B21:B22)</f>
        <v>30000</v>
      </c>
      <c r="C24" s="44">
        <f>SUM(C21:C22)</f>
        <v>35000</v>
      </c>
      <c r="D24" s="44">
        <f>SUM(D21:D22)</f>
        <v>38000</v>
      </c>
      <c r="E24" s="44">
        <f>SUM(E21:E22)</f>
        <v>42000</v>
      </c>
    </row>
    <row r="26" spans="1:5" x14ac:dyDescent="0.25">
      <c r="A26" s="49" t="s">
        <v>202</v>
      </c>
    </row>
    <row r="27" spans="1:5" x14ac:dyDescent="0.25">
      <c r="A27" s="34" t="s">
        <v>203</v>
      </c>
      <c r="B27" s="45">
        <f>Setup!B9</f>
        <v>300000</v>
      </c>
      <c r="C27" s="45">
        <f>Setup!B9</f>
        <v>300000</v>
      </c>
      <c r="D27" s="45">
        <f>Setup!B9</f>
        <v>300000</v>
      </c>
      <c r="E27" s="45">
        <f>Setup!B9</f>
        <v>300000</v>
      </c>
    </row>
    <row r="28" spans="1:5" x14ac:dyDescent="0.25">
      <c r="A28" s="39" t="s">
        <v>204</v>
      </c>
      <c r="B28" s="44">
        <f>B24+B27</f>
        <v>330000</v>
      </c>
      <c r="C28" s="44">
        <f>C24+C27</f>
        <v>335000</v>
      </c>
      <c r="D28" s="44">
        <f>D24+D27</f>
        <v>338000</v>
      </c>
      <c r="E28" s="44">
        <f>E24+E27</f>
        <v>342000</v>
      </c>
    </row>
    <row r="30" spans="1:5" x14ac:dyDescent="0.25">
      <c r="A30" s="49" t="s">
        <v>205</v>
      </c>
    </row>
    <row r="31" spans="1:5" x14ac:dyDescent="0.25">
      <c r="A31" s="34" t="s">
        <v>206</v>
      </c>
      <c r="B31" s="45">
        <f>Setup!B8</f>
        <v>500000</v>
      </c>
      <c r="C31" s="45">
        <f>Setup!B8</f>
        <v>500000</v>
      </c>
      <c r="D31" s="45">
        <f>Setup!B8</f>
        <v>500000</v>
      </c>
      <c r="E31" s="45">
        <f>Setup!B8</f>
        <v>500000</v>
      </c>
    </row>
    <row r="32" spans="1:5" x14ac:dyDescent="0.25">
      <c r="A32" s="34" t="s">
        <v>207</v>
      </c>
      <c r="B32" s="43">
        <v>0</v>
      </c>
      <c r="C32" s="45">
        <f>'P&amp;L'!C30</f>
        <v>-295860</v>
      </c>
      <c r="D32" s="43">
        <f>C32+'P&amp;L'!D30</f>
        <v>-447394.6</v>
      </c>
      <c r="E32" s="43">
        <f>D32+'P&amp;L'!E30</f>
        <v>-595109.24</v>
      </c>
    </row>
    <row r="33" spans="1:5" x14ac:dyDescent="0.25">
      <c r="A33" s="39" t="s">
        <v>208</v>
      </c>
      <c r="B33" s="44">
        <f>B31+B32</f>
        <v>500000</v>
      </c>
      <c r="C33" s="44">
        <f>C31+C32</f>
        <v>204140</v>
      </c>
      <c r="D33" s="44">
        <f>D31+D32</f>
        <v>52605.400000000023</v>
      </c>
      <c r="E33" s="44">
        <f>E31+E32</f>
        <v>-95109.239999999991</v>
      </c>
    </row>
    <row r="34" spans="1:5" ht="15.75" x14ac:dyDescent="0.25">
      <c r="A34" s="47" t="s">
        <v>209</v>
      </c>
      <c r="B34" s="48">
        <f>B28+B33</f>
        <v>830000</v>
      </c>
      <c r="C34" s="48">
        <f>C28+C33</f>
        <v>539140</v>
      </c>
      <c r="D34" s="48">
        <f>D28+D33</f>
        <v>390605.4</v>
      </c>
      <c r="E34" s="48">
        <f>E28+E33</f>
        <v>246890.76</v>
      </c>
    </row>
    <row r="36" spans="1:5" x14ac:dyDescent="0.25">
      <c r="A36" s="50" t="s">
        <v>210</v>
      </c>
      <c r="B36" s="51">
        <f>B18-B34</f>
        <v>120000</v>
      </c>
      <c r="C36" s="51">
        <f>C18-C34</f>
        <v>435860</v>
      </c>
      <c r="D36" s="51">
        <f>D18-D34</f>
        <v>585394.6</v>
      </c>
      <c r="E36" s="51">
        <f>E18-E34</f>
        <v>732109.24</v>
      </c>
    </row>
  </sheetData>
  <mergeCells count="3">
    <mergeCell ref="A1:E1"/>
    <mergeCell ref="A6:E6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06B5-71AF-41E8-B3B2-AC477D478615}">
  <dimension ref="A1:E28"/>
  <sheetViews>
    <sheetView zoomScaleNormal="100" workbookViewId="0">
      <selection sqref="A1:E1"/>
    </sheetView>
  </sheetViews>
  <sheetFormatPr defaultColWidth="8.7109375" defaultRowHeight="15" x14ac:dyDescent="0.25"/>
  <cols>
    <col min="1" max="1" width="30" style="34" customWidth="1"/>
    <col min="2" max="2" width="8.7109375" style="34"/>
    <col min="3" max="5" width="15" style="34" customWidth="1"/>
    <col min="6" max="16384" width="8.7109375" style="34"/>
  </cols>
  <sheetData>
    <row r="1" spans="1:5" ht="15.75" x14ac:dyDescent="0.25">
      <c r="A1" s="59" t="s">
        <v>211</v>
      </c>
      <c r="B1" s="59"/>
      <c r="C1" s="59"/>
      <c r="D1" s="59"/>
      <c r="E1" s="59"/>
    </row>
    <row r="2" spans="1:5" x14ac:dyDescent="0.25">
      <c r="A2" s="34" t="s">
        <v>157</v>
      </c>
      <c r="B2" s="41" t="str">
        <f>Setup!B3</f>
        <v>Player 1</v>
      </c>
    </row>
    <row r="4" spans="1:5" x14ac:dyDescent="0.25">
      <c r="A4" s="42" t="s">
        <v>212</v>
      </c>
      <c r="C4" s="42" t="s">
        <v>147</v>
      </c>
      <c r="D4" s="42" t="s">
        <v>148</v>
      </c>
      <c r="E4" s="42" t="s">
        <v>149</v>
      </c>
    </row>
    <row r="6" spans="1:5" x14ac:dyDescent="0.25">
      <c r="A6" s="58" t="s">
        <v>213</v>
      </c>
      <c r="B6" s="58"/>
      <c r="C6" s="58"/>
      <c r="D6" s="58"/>
      <c r="E6" s="58"/>
    </row>
    <row r="7" spans="1:5" x14ac:dyDescent="0.25">
      <c r="A7" s="34" t="s">
        <v>214</v>
      </c>
      <c r="C7" s="45">
        <f>'P&amp;L'!C30</f>
        <v>-295860</v>
      </c>
      <c r="D7" s="45">
        <f>'P&amp;L'!D30</f>
        <v>-151534.6</v>
      </c>
      <c r="E7" s="45">
        <f>'P&amp;L'!E30</f>
        <v>-147714.64000000001</v>
      </c>
    </row>
    <row r="8" spans="1:5" x14ac:dyDescent="0.25">
      <c r="A8" s="34" t="s">
        <v>215</v>
      </c>
      <c r="C8" s="43">
        <v>5000</v>
      </c>
      <c r="D8" s="43">
        <v>5000</v>
      </c>
      <c r="E8" s="43">
        <v>5000</v>
      </c>
    </row>
    <row r="9" spans="1:5" x14ac:dyDescent="0.25">
      <c r="A9" s="34" t="s">
        <v>216</v>
      </c>
      <c r="C9" s="43">
        <v>-25000</v>
      </c>
      <c r="D9" s="43">
        <v>-3000</v>
      </c>
      <c r="E9" s="43">
        <v>-4000</v>
      </c>
    </row>
    <row r="10" spans="1:5" x14ac:dyDescent="0.25">
      <c r="A10" s="34" t="s">
        <v>217</v>
      </c>
      <c r="C10" s="43">
        <v>-5000</v>
      </c>
      <c r="D10" s="43">
        <v>-3000</v>
      </c>
      <c r="E10" s="43">
        <v>-4000</v>
      </c>
    </row>
    <row r="11" spans="1:5" x14ac:dyDescent="0.25">
      <c r="A11" s="34" t="s">
        <v>218</v>
      </c>
      <c r="C11" s="43">
        <v>5000</v>
      </c>
      <c r="D11" s="43">
        <v>3000</v>
      </c>
      <c r="E11" s="43">
        <v>4000</v>
      </c>
    </row>
    <row r="12" spans="1:5" x14ac:dyDescent="0.25">
      <c r="A12" s="34" t="s">
        <v>219</v>
      </c>
      <c r="C12" s="43">
        <v>3000</v>
      </c>
      <c r="D12" s="43">
        <v>2000</v>
      </c>
      <c r="E12" s="43">
        <v>2000</v>
      </c>
    </row>
    <row r="13" spans="1:5" x14ac:dyDescent="0.25">
      <c r="A13" s="39" t="s">
        <v>220</v>
      </c>
      <c r="C13" s="44">
        <f>SUM(C7:C12)</f>
        <v>-312860</v>
      </c>
      <c r="D13" s="44">
        <f>SUM(D7:D12)</f>
        <v>-147534.6</v>
      </c>
      <c r="E13" s="44">
        <f>SUM(E7:E12)</f>
        <v>-144714.64000000001</v>
      </c>
    </row>
    <row r="15" spans="1:5" x14ac:dyDescent="0.25">
      <c r="A15" s="58" t="s">
        <v>221</v>
      </c>
      <c r="B15" s="58"/>
      <c r="C15" s="58"/>
      <c r="D15" s="58"/>
      <c r="E15" s="58"/>
    </row>
    <row r="16" spans="1:5" x14ac:dyDescent="0.25">
      <c r="A16" s="34" t="s">
        <v>222</v>
      </c>
      <c r="C16" s="43">
        <v>0</v>
      </c>
      <c r="D16" s="43">
        <v>0</v>
      </c>
      <c r="E16" s="43">
        <v>0</v>
      </c>
    </row>
    <row r="17" spans="1:5" x14ac:dyDescent="0.25">
      <c r="A17" s="34" t="s">
        <v>223</v>
      </c>
      <c r="C17" s="43">
        <v>-10000</v>
      </c>
      <c r="D17" s="43">
        <v>-5000</v>
      </c>
      <c r="E17" s="43">
        <v>-8000</v>
      </c>
    </row>
    <row r="18" spans="1:5" x14ac:dyDescent="0.25">
      <c r="A18" s="39" t="s">
        <v>224</v>
      </c>
      <c r="C18" s="44">
        <f>SUM(C16:C17)</f>
        <v>-10000</v>
      </c>
      <c r="D18" s="44">
        <f>SUM(D16:D17)</f>
        <v>-5000</v>
      </c>
      <c r="E18" s="44">
        <f>SUM(E16:E17)</f>
        <v>-8000</v>
      </c>
    </row>
    <row r="20" spans="1:5" x14ac:dyDescent="0.25">
      <c r="A20" s="58" t="s">
        <v>225</v>
      </c>
      <c r="B20" s="58"/>
      <c r="C20" s="58"/>
      <c r="D20" s="58"/>
      <c r="E20" s="58"/>
    </row>
    <row r="21" spans="1:5" x14ac:dyDescent="0.25">
      <c r="A21" s="34" t="s">
        <v>226</v>
      </c>
      <c r="C21" s="43">
        <v>0</v>
      </c>
      <c r="D21" s="43">
        <v>0</v>
      </c>
      <c r="E21" s="43">
        <v>0</v>
      </c>
    </row>
    <row r="22" spans="1:5" x14ac:dyDescent="0.25">
      <c r="A22" s="34" t="s">
        <v>227</v>
      </c>
      <c r="C22" s="43">
        <v>0</v>
      </c>
      <c r="D22" s="43">
        <v>0</v>
      </c>
      <c r="E22" s="43">
        <v>0</v>
      </c>
    </row>
    <row r="23" spans="1:5" x14ac:dyDescent="0.25">
      <c r="A23" s="39" t="s">
        <v>228</v>
      </c>
      <c r="C23" s="44">
        <f>SUM(C21:C22)</f>
        <v>0</v>
      </c>
      <c r="D23" s="44">
        <f>SUM(D21:D22)</f>
        <v>0</v>
      </c>
      <c r="E23" s="44">
        <f>SUM(E21:E22)</f>
        <v>0</v>
      </c>
    </row>
    <row r="25" spans="1:5" x14ac:dyDescent="0.25">
      <c r="A25" s="39" t="s">
        <v>229</v>
      </c>
      <c r="C25" s="48">
        <f>C13+C18+C23</f>
        <v>-322860</v>
      </c>
      <c r="D25" s="48">
        <f>D13+D18+D23</f>
        <v>-152534.6</v>
      </c>
      <c r="E25" s="48">
        <f>E13+E18+E23</f>
        <v>-152714.64000000001</v>
      </c>
    </row>
    <row r="27" spans="1:5" x14ac:dyDescent="0.25">
      <c r="A27" s="34" t="s">
        <v>230</v>
      </c>
      <c r="C27" s="45">
        <f>Setup!B11</f>
        <v>800000</v>
      </c>
      <c r="D27" s="45">
        <f>C28</f>
        <v>477140</v>
      </c>
      <c r="E27" s="45">
        <f>D28</f>
        <v>324605.40000000002</v>
      </c>
    </row>
    <row r="28" spans="1:5" x14ac:dyDescent="0.25">
      <c r="A28" s="39" t="s">
        <v>231</v>
      </c>
      <c r="C28" s="52">
        <f>C27+C25</f>
        <v>477140</v>
      </c>
      <c r="D28" s="52">
        <f>D27+D25</f>
        <v>324605.40000000002</v>
      </c>
      <c r="E28" s="52">
        <f>E27+E25</f>
        <v>171890.76</v>
      </c>
    </row>
  </sheetData>
  <mergeCells count="4">
    <mergeCell ref="A1:E1"/>
    <mergeCell ref="A6:E6"/>
    <mergeCell ref="A15:E15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Round1</vt:lpstr>
      <vt:lpstr>Supplier</vt:lpstr>
      <vt:lpstr>Setup</vt:lpstr>
      <vt:lpstr>Inputs</vt:lpstr>
      <vt:lpstr>P&amp;L</vt:lpstr>
      <vt:lpstr>Balance Sheet</vt:lpstr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aseemallianz@outlook.com</cp:lastModifiedBy>
  <dcterms:created xsi:type="dcterms:W3CDTF">2026-01-25T06:02:46Z</dcterms:created>
  <dcterms:modified xsi:type="dcterms:W3CDTF">2026-07-25T08:20:33Z</dcterms:modified>
</cp:coreProperties>
</file>